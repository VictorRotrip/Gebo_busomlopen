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bonl-my.sharepoint.com/personal/jeroen_martens_gebo_nl/Documents/Bureaublad/Busomloop klad/"/>
    </mc:Choice>
  </mc:AlternateContent>
  <xr:revisionPtr revIDLastSave="228" documentId="8_{105E4EDF-ABE6-4007-86EC-0DAAA0B510B5}" xr6:coauthVersionLast="47" xr6:coauthVersionMax="47" xr10:uidLastSave="{DD27D6D7-C8BD-4D32-8EDF-E918A894824C}"/>
  <bookViews>
    <workbookView xWindow="-96" yWindow="0" windowWidth="11712" windowHeight="13776" xr2:uid="{75592088-1416-4B32-839A-A0E976ADFB0F}"/>
  </bookViews>
  <sheets>
    <sheet name="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1" l="1"/>
  <c r="BJ3" i="1"/>
  <c r="BI23" i="1" s="1"/>
  <c r="BJ23" i="1" s="1"/>
  <c r="BD4" i="1"/>
  <c r="BC3" i="1"/>
  <c r="AU4" i="1"/>
  <c r="AW5" i="1" s="1"/>
  <c r="AW4" i="1"/>
  <c r="AV4" i="1"/>
  <c r="AV3" i="1"/>
  <c r="AN6" i="1"/>
  <c r="AN7" i="1"/>
  <c r="AN8" i="1"/>
  <c r="AN9" i="1"/>
  <c r="AN10" i="1"/>
  <c r="AN11" i="1"/>
  <c r="AN12" i="1"/>
  <c r="AP13" i="1" s="1"/>
  <c r="AN13" i="1"/>
  <c r="AP14" i="1" s="1"/>
  <c r="AN14" i="1"/>
  <c r="AP15" i="1" s="1"/>
  <c r="AN15" i="1"/>
  <c r="AO15" i="1" s="1"/>
  <c r="AN16" i="1"/>
  <c r="AO16" i="1" s="1"/>
  <c r="AN17" i="1"/>
  <c r="AO17" i="1" s="1"/>
  <c r="AN18" i="1"/>
  <c r="AN19" i="1"/>
  <c r="AN20" i="1"/>
  <c r="AN21" i="1"/>
  <c r="AO21" i="1" s="1"/>
  <c r="AN22" i="1"/>
  <c r="AO22" i="1" s="1"/>
  <c r="AN23" i="1"/>
  <c r="AP23" i="1"/>
  <c r="AO23" i="1"/>
  <c r="AP22" i="1"/>
  <c r="AP21" i="1"/>
  <c r="AP20" i="1"/>
  <c r="AO20" i="1"/>
  <c r="AP19" i="1"/>
  <c r="AO19" i="1"/>
  <c r="AO18" i="1"/>
  <c r="AP16" i="1"/>
  <c r="AP12" i="1"/>
  <c r="AO12" i="1"/>
  <c r="AP11" i="1"/>
  <c r="AO11" i="1"/>
  <c r="AP10" i="1"/>
  <c r="AO10" i="1"/>
  <c r="AP9" i="1"/>
  <c r="AO9" i="1"/>
  <c r="AP8" i="1"/>
  <c r="AO8" i="1"/>
  <c r="AP7" i="1"/>
  <c r="AO7" i="1"/>
  <c r="AO6" i="1"/>
  <c r="AP4" i="1"/>
  <c r="AO3" i="1"/>
  <c r="AN4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G6" i="1"/>
  <c r="AG7" i="1"/>
  <c r="AI8" i="1" s="1"/>
  <c r="AG8" i="1"/>
  <c r="AG9" i="1"/>
  <c r="AI10" i="1" s="1"/>
  <c r="AG10" i="1"/>
  <c r="AG11" i="1"/>
  <c r="AG12" i="1"/>
  <c r="AI13" i="1" s="1"/>
  <c r="AG13" i="1"/>
  <c r="AG14" i="1"/>
  <c r="AI15" i="1" s="1"/>
  <c r="AG15" i="1"/>
  <c r="AI16" i="1" s="1"/>
  <c r="AG16" i="1"/>
  <c r="AG17" i="1"/>
  <c r="AG18" i="1"/>
  <c r="AI19" i="1" s="1"/>
  <c r="AG19" i="1"/>
  <c r="AI20" i="1" s="1"/>
  <c r="AG20" i="1"/>
  <c r="AG21" i="1"/>
  <c r="AI22" i="1" s="1"/>
  <c r="AG22" i="1"/>
  <c r="AG23" i="1"/>
  <c r="AI24" i="1" s="1"/>
  <c r="AG24" i="1"/>
  <c r="AG5" i="1"/>
  <c r="AI6" i="1" s="1"/>
  <c r="AI23" i="1"/>
  <c r="AI21" i="1"/>
  <c r="AI12" i="1"/>
  <c r="AI11" i="1"/>
  <c r="AI9" i="1"/>
  <c r="AI7" i="1"/>
  <c r="AI5" i="1"/>
  <c r="AI4" i="1"/>
  <c r="AH3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AB4" i="1"/>
  <c r="AA4" i="1"/>
  <c r="AA3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T3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M3" i="1"/>
  <c r="G2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G18" i="1"/>
  <c r="G19" i="1"/>
  <c r="G20" i="1"/>
  <c r="G21" i="1"/>
  <c r="G22" i="1"/>
  <c r="G23" i="1"/>
  <c r="G7" i="1"/>
  <c r="G8" i="1"/>
  <c r="G9" i="1"/>
  <c r="G10" i="1"/>
  <c r="G11" i="1"/>
  <c r="G12" i="1"/>
  <c r="G13" i="1"/>
  <c r="G14" i="1"/>
  <c r="G15" i="1"/>
  <c r="G16" i="1"/>
  <c r="G17" i="1"/>
  <c r="G5" i="1"/>
  <c r="G6" i="1"/>
  <c r="G4" i="1"/>
  <c r="BI5" i="1" l="1"/>
  <c r="BK6" i="1" s="1"/>
  <c r="BI6" i="1"/>
  <c r="BK7" i="1" s="1"/>
  <c r="BI8" i="1"/>
  <c r="BK9" i="1" s="1"/>
  <c r="BI9" i="1"/>
  <c r="BK10" i="1" s="1"/>
  <c r="BI10" i="1"/>
  <c r="BK11" i="1" s="1"/>
  <c r="BI12" i="1"/>
  <c r="BJ12" i="1" s="1"/>
  <c r="BI13" i="1"/>
  <c r="BK14" i="1" s="1"/>
  <c r="BJ8" i="1"/>
  <c r="BI16" i="1"/>
  <c r="BK17" i="1" s="1"/>
  <c r="BI17" i="1"/>
  <c r="BK18" i="1" s="1"/>
  <c r="BI4" i="1"/>
  <c r="BJ4" i="1" s="1"/>
  <c r="BI20" i="1"/>
  <c r="BJ20" i="1" s="1"/>
  <c r="BI21" i="1"/>
  <c r="BK22" i="1" s="1"/>
  <c r="BJ5" i="1"/>
  <c r="BJ21" i="1"/>
  <c r="BI14" i="1"/>
  <c r="BI18" i="1"/>
  <c r="BI22" i="1"/>
  <c r="BJ6" i="1"/>
  <c r="BJ10" i="1"/>
  <c r="BI7" i="1"/>
  <c r="BI11" i="1"/>
  <c r="BI15" i="1"/>
  <c r="BI19" i="1"/>
  <c r="BB4" i="1"/>
  <c r="BD5" i="1" s="1"/>
  <c r="BB5" i="1"/>
  <c r="BD6" i="1" s="1"/>
  <c r="BB8" i="1"/>
  <c r="BD9" i="1" s="1"/>
  <c r="BB9" i="1"/>
  <c r="BD10" i="1" s="1"/>
  <c r="BC4" i="1"/>
  <c r="BB6" i="1"/>
  <c r="BB10" i="1"/>
  <c r="BC5" i="1"/>
  <c r="BC9" i="1"/>
  <c r="BB7" i="1"/>
  <c r="AU9" i="1"/>
  <c r="AW10" i="1" s="1"/>
  <c r="AU10" i="1"/>
  <c r="AW11" i="1" s="1"/>
  <c r="AU11" i="1"/>
  <c r="AW12" i="1" s="1"/>
  <c r="AU13" i="1"/>
  <c r="AW14" i="1" s="1"/>
  <c r="AU15" i="1"/>
  <c r="AW16" i="1" s="1"/>
  <c r="AU14" i="1"/>
  <c r="AV14" i="1" s="1"/>
  <c r="AU17" i="1"/>
  <c r="AV17" i="1" s="1"/>
  <c r="AU18" i="1"/>
  <c r="AW19" i="1" s="1"/>
  <c r="AU5" i="1"/>
  <c r="AW6" i="1" s="1"/>
  <c r="AU19" i="1"/>
  <c r="AW20" i="1" s="1"/>
  <c r="AU21" i="1"/>
  <c r="AW22" i="1" s="1"/>
  <c r="AU6" i="1"/>
  <c r="AW7" i="1" s="1"/>
  <c r="AU22" i="1"/>
  <c r="AW23" i="1" s="1"/>
  <c r="AU7" i="1"/>
  <c r="AW8" i="1" s="1"/>
  <c r="AU23" i="1"/>
  <c r="AV10" i="1"/>
  <c r="AV11" i="1"/>
  <c r="AV23" i="1"/>
  <c r="AU8" i="1"/>
  <c r="AU12" i="1"/>
  <c r="AU16" i="1"/>
  <c r="AU20" i="1"/>
  <c r="AP17" i="1"/>
  <c r="AO13" i="1"/>
  <c r="AO14" i="1"/>
  <c r="AP18" i="1"/>
  <c r="AO4" i="1"/>
  <c r="AP5" i="1"/>
  <c r="AN5" i="1"/>
  <c r="AI17" i="1"/>
  <c r="AI18" i="1"/>
  <c r="AI14" i="1"/>
  <c r="BK13" i="1" l="1"/>
  <c r="BJ13" i="1"/>
  <c r="BJ17" i="1"/>
  <c r="BJ9" i="1"/>
  <c r="BK5" i="1"/>
  <c r="BK21" i="1"/>
  <c r="BJ16" i="1"/>
  <c r="BJ7" i="1"/>
  <c r="BK8" i="1"/>
  <c r="BK23" i="1"/>
  <c r="BJ22" i="1"/>
  <c r="BK15" i="1"/>
  <c r="BJ14" i="1"/>
  <c r="BJ19" i="1"/>
  <c r="BK20" i="1"/>
  <c r="BJ15" i="1"/>
  <c r="BK16" i="1"/>
  <c r="BK19" i="1"/>
  <c r="BJ18" i="1"/>
  <c r="BJ11" i="1"/>
  <c r="BK12" i="1"/>
  <c r="BC8" i="1"/>
  <c r="BC10" i="1"/>
  <c r="BC7" i="1"/>
  <c r="BD8" i="1"/>
  <c r="BD7" i="1"/>
  <c r="BC6" i="1"/>
  <c r="AV18" i="1"/>
  <c r="AV15" i="1"/>
  <c r="AV13" i="1"/>
  <c r="AV9" i="1"/>
  <c r="AV19" i="1"/>
  <c r="AW18" i="1"/>
  <c r="AV5" i="1"/>
  <c r="AV6" i="1"/>
  <c r="AV7" i="1"/>
  <c r="AV21" i="1"/>
  <c r="AW15" i="1"/>
  <c r="AV22" i="1"/>
  <c r="AV8" i="1"/>
  <c r="AW9" i="1"/>
  <c r="AV20" i="1"/>
  <c r="AW21" i="1"/>
  <c r="AV16" i="1"/>
  <c r="AW17" i="1"/>
  <c r="AV12" i="1"/>
  <c r="AW13" i="1"/>
  <c r="AP6" i="1"/>
  <c r="AO5" i="1"/>
</calcChain>
</file>

<file path=xl/sharedStrings.xml><?xml version="1.0" encoding="utf-8"?>
<sst xmlns="http://schemas.openxmlformats.org/spreadsheetml/2006/main" count="469" uniqueCount="18">
  <si>
    <t>Bus 1</t>
  </si>
  <si>
    <t>Ede</t>
  </si>
  <si>
    <t>Van</t>
  </si>
  <si>
    <t>Naar</t>
  </si>
  <si>
    <t>Tot</t>
  </si>
  <si>
    <t>DD</t>
  </si>
  <si>
    <t>Utrecht</t>
  </si>
  <si>
    <t>Duur</t>
  </si>
  <si>
    <t>Hold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</si>
  <si>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</si>
  <si>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</si>
  <si>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</si>
  <si>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</si>
  <si>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</si>
  <si>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</si>
  <si>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</si>
  <si>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</si>
  <si>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Zie tabblad: "SN Ut-Ed DD - do - 11-06-2026"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</si>
</sst>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0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C7A7-3D9B-4502-8577-4488E81A0F69}">
  <dimension ref="A1:BK27"/>
  <sheetViews>
    <sheetView tabSelected="1" workbookViewId="0">
      <selection activeCell="AD4" sqref="AD4"/>
    </sheetView>
  </sheetViews>
  <sheetFormatPr defaultRowHeight="14.4" x14ac:dyDescent="0.3"/>
  <cols>
    <col min="63" max="63" width="5" bestFit="1" customWidth="1"/>
  </cols>
  <sheetData>
    <row r="1" spans="2:63" x14ac:dyDescent="0.3">
      <c r="B1" s="3" t="s">
        <v>0</v>
      </c>
      <c r="C1" s="1" t="s">
        <v>5</v>
      </c>
      <c r="I1" s="4" t="s">
        <v>9</v>
      </c>
      <c r="J1" s="1" t="s">
        <v>5</v>
      </c>
      <c r="P1" s="5" t="s">
        <v>10</v>
      </c>
      <c r="Q1" s="1" t="s">
        <v>5</v>
      </c>
      <c r="W1" s="6" t="s">
        <v>11</v>
      </c>
      <c r="X1" s="1" t="s">
        <v>5</v>
      </c>
      <c r="AD1" s="7" t="s">
        <v>12</v>
      </c>
      <c r="AE1" s="1" t="s">
        <v>5</v>
      </c>
      <c r="AK1" s="8" t="s">
        <v>13</v>
      </c>
      <c r="AL1" s="1" t="s">
        <v>5</v>
      </c>
      <c r="AR1" s="9" t="s">
        <v>14</v>
      </c>
      <c r="AS1" s="1" t="s">
        <v>5</v>
      </c>
      <c r="AY1" s="10" t="s">
        <v>15</v>
      </c>
      <c r="AZ1" s="1" t="s">
        <v>5</v>
      </c>
      <c r="BF1" s="11" t="s">
        <v>16</v>
      </c>
      <c r="BG1" s="1" t="s">
        <v>5</v>
      </c>
    </row>
    <row r="2" spans="2:63" s="1" customFormat="1" x14ac:dyDescent="0.3">
      <c r="B2" s="1" t="s">
        <v>2</v>
      </c>
      <c r="C2" s="1" t="s">
        <v>3</v>
      </c>
      <c r="D2" s="1" t="s">
        <v>2</v>
      </c>
      <c r="E2" s="1" t="s">
        <v>4</v>
      </c>
      <c r="F2" s="1" t="s">
        <v>7</v>
      </c>
      <c r="G2" s="1" t="s">
        <v>8</v>
      </c>
      <c r="I2" s="1" t="s">
        <v>2</v>
      </c>
      <c r="J2" s="1" t="s">
        <v>3</v>
      </c>
      <c r="K2" s="1" t="s">
        <v>2</v>
      </c>
      <c r="L2" s="1" t="s">
        <v>4</v>
      </c>
      <c r="M2" s="1" t="s">
        <v>7</v>
      </c>
      <c r="N2" s="1" t="s">
        <v>8</v>
      </c>
      <c r="P2" s="1" t="s">
        <v>2</v>
      </c>
      <c r="Q2" s="1" t="s">
        <v>3</v>
      </c>
      <c r="R2" s="1" t="s">
        <v>2</v>
      </c>
      <c r="S2" s="1" t="s">
        <v>4</v>
      </c>
      <c r="T2" s="1" t="s">
        <v>7</v>
      </c>
      <c r="U2" s="1" t="s">
        <v>8</v>
      </c>
      <c r="W2" s="1" t="s">
        <v>2</v>
      </c>
      <c r="X2" s="1" t="s">
        <v>3</v>
      </c>
      <c r="Y2" s="1" t="s">
        <v>2</v>
      </c>
      <c r="Z2" s="1" t="s">
        <v>4</v>
      </c>
      <c r="AA2" s="1" t="s">
        <v>7</v>
      </c>
      <c r="AB2" s="1" t="s">
        <v>8</v>
      </c>
      <c r="AD2" s="1" t="s">
        <v>2</v>
      </c>
      <c r="AE2" s="1" t="s">
        <v>3</v>
      </c>
      <c r="AF2" s="1" t="s">
        <v>2</v>
      </c>
      <c r="AG2" s="1" t="s">
        <v>4</v>
      </c>
      <c r="AH2" s="1" t="s">
        <v>7</v>
      </c>
      <c r="AI2" s="1" t="s">
        <v>8</v>
      </c>
      <c r="AK2" s="1" t="s">
        <v>2</v>
      </c>
      <c r="AL2" s="1" t="s">
        <v>3</v>
      </c>
      <c r="AM2" s="1" t="s">
        <v>2</v>
      </c>
      <c r="AN2" s="1" t="s">
        <v>4</v>
      </c>
      <c r="AO2" s="1" t="s">
        <v>7</v>
      </c>
      <c r="AP2" s="1" t="s">
        <v>8</v>
      </c>
      <c r="AR2" s="1" t="s">
        <v>2</v>
      </c>
      <c r="AS2" s="1" t="s">
        <v>3</v>
      </c>
      <c r="AT2" s="1" t="s">
        <v>2</v>
      </c>
      <c r="AU2" s="1" t="s">
        <v>4</v>
      </c>
      <c r="AV2" s="1" t="s">
        <v>7</v>
      </c>
      <c r="AW2" s="1" t="s">
        <v>8</v>
      </c>
      <c r="AY2" s="1" t="s">
        <v>2</v>
      </c>
      <c r="AZ2" s="1" t="s">
        <v>3</v>
      </c>
      <c r="BA2" s="1" t="s">
        <v>2</v>
      </c>
      <c r="BB2" s="1" t="s">
        <v>4</v>
      </c>
      <c r="BC2" s="1" t="s">
        <v>7</v>
      </c>
      <c r="BD2" s="1" t="s">
        <v>8</v>
      </c>
      <c r="BF2" s="1" t="s">
        <v>2</v>
      </c>
      <c r="BG2" s="1" t="s">
        <v>3</v>
      </c>
      <c r="BH2" s="1" t="s">
        <v>2</v>
      </c>
      <c r="BI2" s="1" t="s">
        <v>4</v>
      </c>
      <c r="BJ2" s="1" t="s">
        <v>7</v>
      </c>
      <c r="BK2" s="1" t="s">
        <v>8</v>
      </c>
    </row>
    <row r="3" spans="2:63" x14ac:dyDescent="0.3">
      <c r="B3" t="s">
        <v>1</v>
      </c>
      <c r="C3" t="s">
        <v>6</v>
      </c>
      <c r="D3" s="2">
        <v>0.20833333333333334</v>
      </c>
      <c r="E3" s="2">
        <v>0.23749999999999999</v>
      </c>
      <c r="F3" s="2">
        <f t="shared" ref="F3:F23" si="0">IF(E3&lt;D3,"",E3-D3)</f>
        <v>2.9166666666666646E-2</v>
      </c>
      <c r="G3" s="2"/>
      <c r="I3" t="s">
        <v>6</v>
      </c>
      <c r="J3" t="s">
        <v>1</v>
      </c>
      <c r="K3" s="2">
        <v>0.21527777777777779</v>
      </c>
      <c r="L3" s="2">
        <v>0.24444444444444444</v>
      </c>
      <c r="M3" s="2">
        <f t="shared" ref="M3:M23" si="1">IF(L3&lt;K3,"",L3-K3)</f>
        <v>2.9166666666666646E-2</v>
      </c>
      <c r="P3" t="s">
        <v>1</v>
      </c>
      <c r="Q3" t="s">
        <v>6</v>
      </c>
      <c r="R3" s="2">
        <v>0.22222222222222221</v>
      </c>
      <c r="S3" s="2">
        <v>0.25138888888888888</v>
      </c>
      <c r="T3" s="2">
        <f t="shared" ref="T3:T23" si="2">IF(S3&lt;R3,"",S3-R3)</f>
        <v>2.9166666666666674E-2</v>
      </c>
      <c r="W3" t="s">
        <v>6</v>
      </c>
      <c r="X3" t="s">
        <v>1</v>
      </c>
      <c r="Y3" s="2">
        <v>0.22222222222222221</v>
      </c>
      <c r="Z3" s="2">
        <v>0.25138888888888888</v>
      </c>
      <c r="AA3" s="2">
        <f t="shared" ref="AA3:AA23" si="3">IF(Z3&lt;Y3,"",Z3-Y3)</f>
        <v>2.9166666666666674E-2</v>
      </c>
      <c r="AD3" t="s">
        <v>1</v>
      </c>
      <c r="AE3" t="s">
        <v>6</v>
      </c>
      <c r="AF3" s="2">
        <v>0.22916666666666666</v>
      </c>
      <c r="AG3" s="2">
        <v>0.25833333333333336</v>
      </c>
      <c r="AH3" s="2">
        <f t="shared" ref="AH3:AH24" si="4">IF(AG3&lt;AF3,"",AG3-AF3)</f>
        <v>2.9166666666666702E-2</v>
      </c>
      <c r="AK3" t="s">
        <v>6</v>
      </c>
      <c r="AL3" t="s">
        <v>1</v>
      </c>
      <c r="AM3" s="2">
        <v>0.2361111111111111</v>
      </c>
      <c r="AN3" s="2">
        <v>0.26527777777777778</v>
      </c>
      <c r="AO3" s="2">
        <f t="shared" ref="AO3:AO23" si="5">IF(AN3&lt;AM3,"",AN3-AM3)</f>
        <v>2.9166666666666674E-2</v>
      </c>
      <c r="AR3" t="s">
        <v>1</v>
      </c>
      <c r="AS3" t="s">
        <v>6</v>
      </c>
      <c r="AT3" s="2">
        <v>0.24305555555555555</v>
      </c>
      <c r="AU3" s="2">
        <v>0.2722222222222222</v>
      </c>
      <c r="AV3" s="2">
        <f t="shared" ref="AV3:AV23" si="6">IF(AU3&lt;AT3,"",AU3-AT3)</f>
        <v>2.9166666666666646E-2</v>
      </c>
      <c r="AY3" t="s">
        <v>6</v>
      </c>
      <c r="AZ3" t="s">
        <v>1</v>
      </c>
      <c r="BA3" s="2">
        <v>0.25694444444444442</v>
      </c>
      <c r="BB3" s="2">
        <v>0.28611111111111109</v>
      </c>
      <c r="BC3" s="2">
        <f t="shared" ref="BC3:BC10" si="7">IF(BB3&lt;BA3,"",BB3-BA3)</f>
        <v>2.9166666666666674E-2</v>
      </c>
      <c r="BF3" t="s">
        <v>1</v>
      </c>
      <c r="BG3" t="s">
        <v>6</v>
      </c>
      <c r="BH3" s="2">
        <v>0.2638888888888889</v>
      </c>
      <c r="BI3" s="2">
        <v>0.29305555555555557</v>
      </c>
      <c r="BJ3" s="2">
        <f t="shared" ref="BJ3:BJ23" si="8">IF(BI3&lt;BH3,"",BI3-BH3)</f>
        <v>2.9166666666666674E-2</v>
      </c>
    </row>
    <row r="4" spans="2:63" x14ac:dyDescent="0.3">
      <c r="B4" t="s">
        <v>6</v>
      </c>
      <c r="C4" t="s">
        <v>1</v>
      </c>
      <c r="D4" s="2">
        <v>0.24305555555555555</v>
      </c>
      <c r="E4" s="2">
        <v>0.2722222222222222</v>
      </c>
      <c r="F4" s="2">
        <f t="shared" si="0"/>
        <v>2.9166666666666646E-2</v>
      </c>
      <c r="G4" s="2">
        <f>D4-E3</f>
        <v>5.5555555555555636E-3</v>
      </c>
      <c r="I4" t="s">
        <v>1</v>
      </c>
      <c r="J4" t="s">
        <v>6</v>
      </c>
      <c r="K4" s="2">
        <v>0.25</v>
      </c>
      <c r="L4" s="2">
        <v>0.27916666666666667</v>
      </c>
      <c r="M4" s="2">
        <f t="shared" si="1"/>
        <v>2.9166666666666674E-2</v>
      </c>
      <c r="N4" s="2">
        <f>K4-L3</f>
        <v>5.5555555555555636E-3</v>
      </c>
      <c r="P4" t="s">
        <v>6</v>
      </c>
      <c r="Q4" t="s">
        <v>1</v>
      </c>
      <c r="R4" s="2">
        <v>0.25694444444444442</v>
      </c>
      <c r="S4" s="2">
        <v>0.28611111111111109</v>
      </c>
      <c r="T4" s="2">
        <f t="shared" si="2"/>
        <v>2.9166666666666674E-2</v>
      </c>
      <c r="U4" s="2">
        <f>R4-S3</f>
        <v>5.5555555555555358E-3</v>
      </c>
      <c r="W4" t="s">
        <v>1</v>
      </c>
      <c r="X4" t="s">
        <v>6</v>
      </c>
      <c r="Y4" s="2">
        <v>0.2638888888888889</v>
      </c>
      <c r="Z4" s="2">
        <v>0.29305555555555557</v>
      </c>
      <c r="AA4" s="2">
        <f t="shared" si="3"/>
        <v>2.9166666666666674E-2</v>
      </c>
      <c r="AB4" s="2">
        <f>Y4-Z3</f>
        <v>1.2500000000000011E-2</v>
      </c>
      <c r="AD4" t="s">
        <v>6</v>
      </c>
      <c r="AE4" t="s">
        <v>1</v>
      </c>
      <c r="AF4" s="2">
        <v>0.2638888888888889</v>
      </c>
      <c r="AG4" s="2">
        <v>0.29305555555555557</v>
      </c>
      <c r="AH4" s="2">
        <f t="shared" si="4"/>
        <v>2.9166666666666674E-2</v>
      </c>
      <c r="AI4" s="2">
        <f>AF4-AG3</f>
        <v>5.5555555555555358E-3</v>
      </c>
      <c r="AK4" t="s">
        <v>1</v>
      </c>
      <c r="AL4" t="s">
        <v>6</v>
      </c>
      <c r="AM4" s="2">
        <v>0.27083333333333331</v>
      </c>
      <c r="AN4" s="2">
        <f>AM4+AO$3</f>
        <v>0.3</v>
      </c>
      <c r="AO4" s="2">
        <f t="shared" si="5"/>
        <v>2.9166666666666674E-2</v>
      </c>
      <c r="AP4" s="2">
        <f>AM4-AN3</f>
        <v>5.5555555555555358E-3</v>
      </c>
      <c r="AR4" t="s">
        <v>6</v>
      </c>
      <c r="AS4" t="s">
        <v>1</v>
      </c>
      <c r="AT4" s="2">
        <v>0.27777777777777779</v>
      </c>
      <c r="AU4" s="2">
        <f>AT4+AV$3</f>
        <v>0.30694444444444446</v>
      </c>
      <c r="AV4" s="2">
        <f t="shared" si="6"/>
        <v>2.9166666666666674E-2</v>
      </c>
      <c r="AW4" s="2">
        <f>AT4-AU3</f>
        <v>5.5555555555555913E-3</v>
      </c>
      <c r="AY4" t="s">
        <v>1</v>
      </c>
      <c r="AZ4" t="s">
        <v>6</v>
      </c>
      <c r="BA4" s="2">
        <v>0.29166666666666669</v>
      </c>
      <c r="BB4" s="2">
        <f>BA4+BC$3</f>
        <v>0.32083333333333336</v>
      </c>
      <c r="BC4" s="2">
        <f t="shared" si="7"/>
        <v>2.9166666666666674E-2</v>
      </c>
      <c r="BD4" s="2">
        <f>BA4-BB3</f>
        <v>5.5555555555555913E-3</v>
      </c>
      <c r="BF4" t="s">
        <v>6</v>
      </c>
      <c r="BG4" t="s">
        <v>1</v>
      </c>
      <c r="BH4" s="2"/>
      <c r="BI4" s="2">
        <f>BH4+BJ$3</f>
        <v>2.9166666666666674E-2</v>
      </c>
      <c r="BJ4" s="2">
        <f t="shared" si="8"/>
        <v>2.9166666666666674E-2</v>
      </c>
      <c r="BK4" s="2">
        <f>BH4-BI3</f>
        <v>-0.29305555555555557</v>
      </c>
    </row>
    <row r="5" spans="2:63" x14ac:dyDescent="0.3">
      <c r="B5" t="s">
        <v>1</v>
      </c>
      <c r="C5" t="s">
        <v>6</v>
      </c>
      <c r="D5" s="2">
        <v>0.28472222222222221</v>
      </c>
      <c r="E5" s="2">
        <v>0.31388888888888888</v>
      </c>
      <c r="F5" s="2">
        <f t="shared" si="0"/>
        <v>2.9166666666666674E-2</v>
      </c>
      <c r="G5" s="2">
        <f t="shared" ref="G5:G17" si="9">D5-E4</f>
        <v>1.2500000000000011E-2</v>
      </c>
      <c r="I5" t="s">
        <v>6</v>
      </c>
      <c r="J5" t="s">
        <v>1</v>
      </c>
      <c r="K5" s="2">
        <v>0.28472222222222221</v>
      </c>
      <c r="L5" s="2">
        <v>0.31388888888888888</v>
      </c>
      <c r="M5" s="2">
        <f t="shared" si="1"/>
        <v>2.9166666666666674E-2</v>
      </c>
      <c r="N5" s="2">
        <f t="shared" ref="N5:N24" si="10">K5-L4</f>
        <v>5.5555555555555358E-3</v>
      </c>
      <c r="P5" t="s">
        <v>1</v>
      </c>
      <c r="Q5" t="s">
        <v>6</v>
      </c>
      <c r="R5" s="2">
        <v>0.29166666666666669</v>
      </c>
      <c r="S5" s="2">
        <v>0.32083333333333336</v>
      </c>
      <c r="T5" s="2">
        <f t="shared" si="2"/>
        <v>2.9166666666666674E-2</v>
      </c>
      <c r="U5" s="2">
        <f t="shared" ref="U5:U24" si="11">R5-S4</f>
        <v>5.5555555555555913E-3</v>
      </c>
      <c r="W5" t="s">
        <v>6</v>
      </c>
      <c r="X5" t="s">
        <v>1</v>
      </c>
      <c r="Y5" s="2">
        <v>0.2986111111111111</v>
      </c>
      <c r="Z5" s="2">
        <v>0.32777777777777778</v>
      </c>
      <c r="AA5" s="2">
        <f t="shared" si="3"/>
        <v>2.9166666666666674E-2</v>
      </c>
      <c r="AB5" s="2">
        <f t="shared" ref="AB5:AB24" si="12">Y5-Z4</f>
        <v>5.5555555555555358E-3</v>
      </c>
      <c r="AD5" t="s">
        <v>1</v>
      </c>
      <c r="AE5" t="s">
        <v>6</v>
      </c>
      <c r="AF5" s="2">
        <v>0.30555555555555558</v>
      </c>
      <c r="AG5" s="2">
        <f>AF5+AH$3</f>
        <v>0.33472222222222225</v>
      </c>
      <c r="AH5" s="2">
        <f t="shared" si="4"/>
        <v>2.9166666666666674E-2</v>
      </c>
      <c r="AI5" s="2">
        <f t="shared" ref="AI5:AI24" si="13">AF5-AG4</f>
        <v>1.2500000000000011E-2</v>
      </c>
      <c r="AK5" t="s">
        <v>6</v>
      </c>
      <c r="AL5" t="s">
        <v>1</v>
      </c>
      <c r="AM5" s="2">
        <v>0.30555555555555558</v>
      </c>
      <c r="AN5" s="2">
        <f>AM5+AO$3</f>
        <v>0.33472222222222225</v>
      </c>
      <c r="AO5" s="2">
        <f t="shared" si="5"/>
        <v>2.9166666666666674E-2</v>
      </c>
      <c r="AP5" s="2">
        <f t="shared" ref="AP5:AP23" si="14">AM5-AN4</f>
        <v>5.5555555555555913E-3</v>
      </c>
      <c r="AR5" t="s">
        <v>1</v>
      </c>
      <c r="AS5" t="s">
        <v>6</v>
      </c>
      <c r="AT5" s="2">
        <v>0.3125</v>
      </c>
      <c r="AU5" s="2">
        <f>AT5+AV$3</f>
        <v>0.34166666666666667</v>
      </c>
      <c r="AV5" s="2">
        <f t="shared" si="6"/>
        <v>2.9166666666666674E-2</v>
      </c>
      <c r="AW5" s="2">
        <f t="shared" ref="AW5:AW23" si="15">AT5-AU4</f>
        <v>5.5555555555555358E-3</v>
      </c>
      <c r="AY5" t="s">
        <v>6</v>
      </c>
      <c r="AZ5" t="s">
        <v>1</v>
      </c>
      <c r="BA5" s="2">
        <v>0.3263888888888889</v>
      </c>
      <c r="BB5" s="2">
        <f>BA5+BC$3</f>
        <v>0.35555555555555557</v>
      </c>
      <c r="BC5" s="2">
        <f t="shared" si="7"/>
        <v>2.9166666666666674E-2</v>
      </c>
      <c r="BD5" s="2">
        <f t="shared" ref="BD5:BD10" si="16">BA5-BB4</f>
        <v>5.5555555555555358E-3</v>
      </c>
      <c r="BF5" t="s">
        <v>1</v>
      </c>
      <c r="BG5" t="s">
        <v>6</v>
      </c>
      <c r="BH5" s="2"/>
      <c r="BI5" s="2">
        <f>BH5+BJ$3</f>
        <v>2.9166666666666674E-2</v>
      </c>
      <c r="BJ5" s="2">
        <f t="shared" si="8"/>
        <v>2.9166666666666674E-2</v>
      </c>
      <c r="BK5" s="2">
        <f t="shared" ref="BK5:BK23" si="17">BH5-BI4</f>
        <v>-2.9166666666666674E-2</v>
      </c>
    </row>
    <row r="6" spans="2:63" x14ac:dyDescent="0.3">
      <c r="B6" t="s">
        <v>6</v>
      </c>
      <c r="C6" t="s">
        <v>1</v>
      </c>
      <c r="D6" s="2">
        <v>0.31944444444444442</v>
      </c>
      <c r="E6" s="2">
        <v>0.34861111111111109</v>
      </c>
      <c r="F6" s="2">
        <f t="shared" si="0"/>
        <v>2.9166666666666674E-2</v>
      </c>
      <c r="G6" s="2">
        <f t="shared" si="9"/>
        <v>5.5555555555555358E-3</v>
      </c>
      <c r="I6" t="s">
        <v>1</v>
      </c>
      <c r="J6" t="s">
        <v>6</v>
      </c>
      <c r="K6" s="2">
        <v>0.3263888888888889</v>
      </c>
      <c r="L6" s="2">
        <v>0.35555555555555557</v>
      </c>
      <c r="M6" s="2">
        <f t="shared" si="1"/>
        <v>2.9166666666666674E-2</v>
      </c>
      <c r="N6" s="2">
        <f t="shared" si="10"/>
        <v>1.2500000000000011E-2</v>
      </c>
      <c r="P6" t="s">
        <v>6</v>
      </c>
      <c r="Q6" t="s">
        <v>1</v>
      </c>
      <c r="R6" s="2">
        <v>0.3263888888888889</v>
      </c>
      <c r="S6" s="2">
        <v>0.35555555555555557</v>
      </c>
      <c r="T6" s="2">
        <f t="shared" si="2"/>
        <v>2.9166666666666674E-2</v>
      </c>
      <c r="U6" s="2">
        <f t="shared" si="11"/>
        <v>5.5555555555555358E-3</v>
      </c>
      <c r="W6" t="s">
        <v>1</v>
      </c>
      <c r="X6" t="s">
        <v>6</v>
      </c>
      <c r="Y6" s="2">
        <v>0.33333333333333331</v>
      </c>
      <c r="Z6" s="2">
        <v>0.36249999999999999</v>
      </c>
      <c r="AA6" s="2">
        <f t="shared" si="3"/>
        <v>2.9166666666666674E-2</v>
      </c>
      <c r="AB6" s="2">
        <f t="shared" si="12"/>
        <v>5.5555555555555358E-3</v>
      </c>
      <c r="AD6" t="s">
        <v>6</v>
      </c>
      <c r="AE6" t="s">
        <v>1</v>
      </c>
      <c r="AF6" s="2">
        <v>0.34027777777777779</v>
      </c>
      <c r="AG6" s="2">
        <f t="shared" ref="AG6:AG24" si="18">AF6+AH$3</f>
        <v>0.36944444444444446</v>
      </c>
      <c r="AH6" s="2">
        <f t="shared" si="4"/>
        <v>2.9166666666666674E-2</v>
      </c>
      <c r="AI6" s="2">
        <f t="shared" si="13"/>
        <v>5.5555555555555358E-3</v>
      </c>
      <c r="AK6" t="s">
        <v>1</v>
      </c>
      <c r="AL6" t="s">
        <v>6</v>
      </c>
      <c r="AM6" s="2">
        <v>0.34722222222222221</v>
      </c>
      <c r="AN6" s="2">
        <f t="shared" ref="AN6:AN23" si="19">AM6+AO$3</f>
        <v>0.37638888888888888</v>
      </c>
      <c r="AO6" s="2">
        <f t="shared" si="5"/>
        <v>2.9166666666666674E-2</v>
      </c>
      <c r="AP6" s="2">
        <f t="shared" si="14"/>
        <v>1.2499999999999956E-2</v>
      </c>
      <c r="AR6" t="s">
        <v>6</v>
      </c>
      <c r="AS6" t="s">
        <v>1</v>
      </c>
      <c r="AT6" s="2">
        <v>0.34722222222222221</v>
      </c>
      <c r="AU6" s="2">
        <f t="shared" ref="AU6:AU23" si="20">AT6+AV$3</f>
        <v>0.37638888888888888</v>
      </c>
      <c r="AV6" s="2">
        <f t="shared" si="6"/>
        <v>2.9166666666666674E-2</v>
      </c>
      <c r="AW6" s="2">
        <f t="shared" si="15"/>
        <v>5.5555555555555358E-3</v>
      </c>
      <c r="AY6" t="s">
        <v>1</v>
      </c>
      <c r="AZ6" t="s">
        <v>6</v>
      </c>
      <c r="BA6" s="2">
        <v>0.36805555555555558</v>
      </c>
      <c r="BB6" s="2">
        <f t="shared" ref="BB6:BB10" si="21">BA6+BC$3</f>
        <v>0.39722222222222225</v>
      </c>
      <c r="BC6" s="2">
        <f t="shared" si="7"/>
        <v>2.9166666666666674E-2</v>
      </c>
      <c r="BD6" s="2">
        <f t="shared" si="16"/>
        <v>1.2500000000000011E-2</v>
      </c>
      <c r="BF6" t="s">
        <v>6</v>
      </c>
      <c r="BG6" t="s">
        <v>1</v>
      </c>
      <c r="BH6" s="2"/>
      <c r="BI6" s="2">
        <f t="shared" ref="BI6:BI23" si="22">BH6+BJ$3</f>
        <v>2.9166666666666674E-2</v>
      </c>
      <c r="BJ6" s="2">
        <f t="shared" si="8"/>
        <v>2.9166666666666674E-2</v>
      </c>
      <c r="BK6" s="2">
        <f t="shared" si="17"/>
        <v>-2.9166666666666674E-2</v>
      </c>
    </row>
    <row r="7" spans="2:63" x14ac:dyDescent="0.3">
      <c r="B7" t="s">
        <v>1</v>
      </c>
      <c r="C7" t="s">
        <v>6</v>
      </c>
      <c r="D7" s="2">
        <v>0.35416666666666669</v>
      </c>
      <c r="E7" s="2">
        <v>0.38333333333333336</v>
      </c>
      <c r="F7" s="2">
        <f t="shared" si="0"/>
        <v>2.9166666666666674E-2</v>
      </c>
      <c r="G7" s="2">
        <f t="shared" si="9"/>
        <v>5.5555555555555913E-3</v>
      </c>
      <c r="I7" t="s">
        <v>6</v>
      </c>
      <c r="J7" t="s">
        <v>1</v>
      </c>
      <c r="K7" s="2">
        <v>0.3611111111111111</v>
      </c>
      <c r="L7" s="2">
        <v>0.39027777777777778</v>
      </c>
      <c r="M7" s="2">
        <f t="shared" si="1"/>
        <v>2.9166666666666674E-2</v>
      </c>
      <c r="N7" s="2">
        <f t="shared" si="10"/>
        <v>5.5555555555555358E-3</v>
      </c>
      <c r="P7" t="s">
        <v>1</v>
      </c>
      <c r="Q7" t="s">
        <v>6</v>
      </c>
      <c r="R7" s="2">
        <v>0.36805555555555558</v>
      </c>
      <c r="S7" s="2">
        <v>0.3972222222222222</v>
      </c>
      <c r="T7" s="2">
        <f t="shared" si="2"/>
        <v>2.9166666666666619E-2</v>
      </c>
      <c r="U7" s="2">
        <f t="shared" si="11"/>
        <v>1.2500000000000011E-2</v>
      </c>
      <c r="W7" t="s">
        <v>6</v>
      </c>
      <c r="X7" t="s">
        <v>1</v>
      </c>
      <c r="Y7" s="2">
        <v>0.36805555555555558</v>
      </c>
      <c r="Z7" s="2">
        <v>0.3972222222222222</v>
      </c>
      <c r="AA7" s="2">
        <f t="shared" si="3"/>
        <v>2.9166666666666619E-2</v>
      </c>
      <c r="AB7" s="2">
        <f t="shared" si="12"/>
        <v>5.5555555555555913E-3</v>
      </c>
      <c r="AD7" t="s">
        <v>1</v>
      </c>
      <c r="AE7" t="s">
        <v>6</v>
      </c>
      <c r="AF7" s="2">
        <v>0.375</v>
      </c>
      <c r="AG7" s="2">
        <f t="shared" si="18"/>
        <v>0.40416666666666667</v>
      </c>
      <c r="AH7" s="2">
        <f t="shared" si="4"/>
        <v>2.9166666666666674E-2</v>
      </c>
      <c r="AI7" s="2">
        <f t="shared" si="13"/>
        <v>5.5555555555555358E-3</v>
      </c>
      <c r="AK7" t="s">
        <v>6</v>
      </c>
      <c r="AL7" t="s">
        <v>1</v>
      </c>
      <c r="AM7" s="2">
        <v>0.38194444444444442</v>
      </c>
      <c r="AN7" s="2">
        <f t="shared" si="19"/>
        <v>0.41111111111111109</v>
      </c>
      <c r="AO7" s="2">
        <f t="shared" si="5"/>
        <v>2.9166666666666674E-2</v>
      </c>
      <c r="AP7" s="2">
        <f t="shared" si="14"/>
        <v>5.5555555555555358E-3</v>
      </c>
      <c r="AR7" t="s">
        <v>1</v>
      </c>
      <c r="AS7" t="s">
        <v>6</v>
      </c>
      <c r="AT7" s="2">
        <v>0.3888888888888889</v>
      </c>
      <c r="AU7" s="2">
        <f t="shared" si="20"/>
        <v>0.41805555555555551</v>
      </c>
      <c r="AV7" s="2">
        <f t="shared" si="6"/>
        <v>2.9166666666666619E-2</v>
      </c>
      <c r="AW7" s="2">
        <f t="shared" si="15"/>
        <v>1.2500000000000011E-2</v>
      </c>
      <c r="AY7" t="s">
        <v>6</v>
      </c>
      <c r="AZ7" t="s">
        <v>1</v>
      </c>
      <c r="BA7" s="2">
        <v>0.67361111111111116</v>
      </c>
      <c r="BB7" s="2">
        <f t="shared" si="21"/>
        <v>0.70277777777777783</v>
      </c>
      <c r="BC7" s="2">
        <f t="shared" si="7"/>
        <v>2.9166666666666674E-2</v>
      </c>
      <c r="BD7" s="2">
        <f t="shared" si="16"/>
        <v>0.27638888888888891</v>
      </c>
      <c r="BF7" t="s">
        <v>1</v>
      </c>
      <c r="BG7" t="s">
        <v>6</v>
      </c>
      <c r="BH7" s="2"/>
      <c r="BI7" s="2">
        <f t="shared" si="22"/>
        <v>2.9166666666666674E-2</v>
      </c>
      <c r="BJ7" s="2">
        <f t="shared" si="8"/>
        <v>2.9166666666666674E-2</v>
      </c>
      <c r="BK7" s="2">
        <f t="shared" si="17"/>
        <v>-2.9166666666666674E-2</v>
      </c>
    </row>
    <row r="8" spans="2:63" x14ac:dyDescent="0.3">
      <c r="B8" t="s">
        <v>6</v>
      </c>
      <c r="C8" t="s">
        <v>1</v>
      </c>
      <c r="D8" s="2">
        <v>0.3888888888888889</v>
      </c>
      <c r="E8" s="2">
        <v>0.41805555555555557</v>
      </c>
      <c r="F8" s="2">
        <f t="shared" si="0"/>
        <v>2.9166666666666674E-2</v>
      </c>
      <c r="G8" s="2">
        <f t="shared" si="9"/>
        <v>5.5555555555555358E-3</v>
      </c>
      <c r="I8" t="s">
        <v>1</v>
      </c>
      <c r="J8" t="s">
        <v>6</v>
      </c>
      <c r="K8" s="2">
        <v>0.39583333333333331</v>
      </c>
      <c r="L8" s="2">
        <v>0.42499999999999999</v>
      </c>
      <c r="M8" s="2">
        <f t="shared" si="1"/>
        <v>2.9166666666666674E-2</v>
      </c>
      <c r="N8" s="2">
        <f t="shared" si="10"/>
        <v>5.5555555555555358E-3</v>
      </c>
      <c r="P8" t="s">
        <v>6</v>
      </c>
      <c r="Q8" t="s">
        <v>1</v>
      </c>
      <c r="R8" s="2">
        <v>0.40277777777777779</v>
      </c>
      <c r="S8" s="2">
        <v>0.43194444444444446</v>
      </c>
      <c r="T8" s="2">
        <f t="shared" si="2"/>
        <v>2.9166666666666674E-2</v>
      </c>
      <c r="U8" s="2">
        <f t="shared" si="11"/>
        <v>5.5555555555555913E-3</v>
      </c>
      <c r="W8" t="s">
        <v>1</v>
      </c>
      <c r="X8" t="s">
        <v>6</v>
      </c>
      <c r="Y8" s="2">
        <v>0.40972222222222221</v>
      </c>
      <c r="Z8" s="2">
        <v>0.43888888888888888</v>
      </c>
      <c r="AA8" s="2">
        <f t="shared" si="3"/>
        <v>2.9166666666666674E-2</v>
      </c>
      <c r="AB8" s="2">
        <f t="shared" si="12"/>
        <v>1.2500000000000011E-2</v>
      </c>
      <c r="AD8" t="s">
        <v>6</v>
      </c>
      <c r="AE8" t="s">
        <v>1</v>
      </c>
      <c r="AF8" s="2">
        <v>0.40972222222222221</v>
      </c>
      <c r="AG8" s="2">
        <f t="shared" si="18"/>
        <v>0.43888888888888888</v>
      </c>
      <c r="AH8" s="2">
        <f t="shared" si="4"/>
        <v>2.9166666666666674E-2</v>
      </c>
      <c r="AI8" s="2">
        <f t="shared" si="13"/>
        <v>5.5555555555555358E-3</v>
      </c>
      <c r="AK8" t="s">
        <v>1</v>
      </c>
      <c r="AL8" t="s">
        <v>6</v>
      </c>
      <c r="AM8" s="2">
        <v>0.41666666666666669</v>
      </c>
      <c r="AN8" s="2">
        <f t="shared" si="19"/>
        <v>0.44583333333333336</v>
      </c>
      <c r="AO8" s="2">
        <f t="shared" si="5"/>
        <v>2.9166666666666674E-2</v>
      </c>
      <c r="AP8" s="2">
        <f t="shared" si="14"/>
        <v>5.5555555555555913E-3</v>
      </c>
      <c r="AR8" t="s">
        <v>6</v>
      </c>
      <c r="AS8" t="s">
        <v>1</v>
      </c>
      <c r="AT8" s="2">
        <v>0.4236111111111111</v>
      </c>
      <c r="AU8" s="2">
        <f t="shared" si="20"/>
        <v>0.45277777777777772</v>
      </c>
      <c r="AV8" s="2">
        <f t="shared" si="6"/>
        <v>2.9166666666666619E-2</v>
      </c>
      <c r="AW8" s="2">
        <f t="shared" si="15"/>
        <v>5.5555555555555913E-3</v>
      </c>
      <c r="AY8" t="s">
        <v>1</v>
      </c>
      <c r="AZ8" t="s">
        <v>6</v>
      </c>
      <c r="BA8" s="2">
        <v>0.70833333333333337</v>
      </c>
      <c r="BB8" s="2">
        <f t="shared" si="21"/>
        <v>0.73750000000000004</v>
      </c>
      <c r="BC8" s="2">
        <f t="shared" si="7"/>
        <v>2.9166666666666674E-2</v>
      </c>
      <c r="BD8" s="2">
        <f t="shared" si="16"/>
        <v>5.5555555555555358E-3</v>
      </c>
      <c r="BF8" t="s">
        <v>6</v>
      </c>
      <c r="BG8" t="s">
        <v>1</v>
      </c>
      <c r="BH8" s="2"/>
      <c r="BI8" s="2">
        <f t="shared" si="22"/>
        <v>2.9166666666666674E-2</v>
      </c>
      <c r="BJ8" s="2">
        <f t="shared" si="8"/>
        <v>2.9166666666666674E-2</v>
      </c>
      <c r="BK8" s="2">
        <f t="shared" si="17"/>
        <v>-2.9166666666666674E-2</v>
      </c>
    </row>
    <row r="9" spans="2:63" x14ac:dyDescent="0.3">
      <c r="B9" t="s">
        <v>1</v>
      </c>
      <c r="C9" t="s">
        <v>6</v>
      </c>
      <c r="D9" s="2">
        <v>0.43055555555555558</v>
      </c>
      <c r="E9" s="2">
        <v>0.4597222222222222</v>
      </c>
      <c r="F9" s="2">
        <f t="shared" si="0"/>
        <v>2.9166666666666619E-2</v>
      </c>
      <c r="G9" s="2">
        <f t="shared" si="9"/>
        <v>1.2500000000000011E-2</v>
      </c>
      <c r="I9" t="s">
        <v>6</v>
      </c>
      <c r="J9" t="s">
        <v>1</v>
      </c>
      <c r="K9" s="2">
        <v>0.43055555555555558</v>
      </c>
      <c r="L9" s="2">
        <v>0.4597222222222222</v>
      </c>
      <c r="M9" s="2">
        <f t="shared" si="1"/>
        <v>2.9166666666666619E-2</v>
      </c>
      <c r="N9" s="2">
        <f t="shared" si="10"/>
        <v>5.5555555555555913E-3</v>
      </c>
      <c r="P9" t="s">
        <v>1</v>
      </c>
      <c r="Q9" t="s">
        <v>6</v>
      </c>
      <c r="R9" s="2">
        <v>0.4375</v>
      </c>
      <c r="S9" s="2">
        <v>0.46666666666666667</v>
      </c>
      <c r="T9" s="2">
        <f t="shared" si="2"/>
        <v>2.9166666666666674E-2</v>
      </c>
      <c r="U9" s="2">
        <f t="shared" si="11"/>
        <v>5.5555555555555358E-3</v>
      </c>
      <c r="W9" t="s">
        <v>6</v>
      </c>
      <c r="X9" t="s">
        <v>1</v>
      </c>
      <c r="Y9" s="2">
        <v>0.44444444444444442</v>
      </c>
      <c r="Z9" s="2">
        <v>0.47361111111111109</v>
      </c>
      <c r="AA9" s="2">
        <f t="shared" si="3"/>
        <v>2.9166666666666674E-2</v>
      </c>
      <c r="AB9" s="2">
        <f t="shared" si="12"/>
        <v>5.5555555555555358E-3</v>
      </c>
      <c r="AD9" t="s">
        <v>1</v>
      </c>
      <c r="AE9" t="s">
        <v>6</v>
      </c>
      <c r="AF9" s="2">
        <v>0.4513888888888889</v>
      </c>
      <c r="AG9" s="2">
        <f t="shared" si="18"/>
        <v>0.48055555555555562</v>
      </c>
      <c r="AH9" s="2">
        <f t="shared" si="4"/>
        <v>2.916666666666673E-2</v>
      </c>
      <c r="AI9" s="2">
        <f t="shared" si="13"/>
        <v>1.2500000000000011E-2</v>
      </c>
      <c r="AK9" t="s">
        <v>6</v>
      </c>
      <c r="AL9" t="s">
        <v>1</v>
      </c>
      <c r="AM9" s="2">
        <v>0.4513888888888889</v>
      </c>
      <c r="AN9" s="2">
        <f t="shared" si="19"/>
        <v>0.48055555555555557</v>
      </c>
      <c r="AO9" s="2">
        <f t="shared" si="5"/>
        <v>2.9166666666666674E-2</v>
      </c>
      <c r="AP9" s="2">
        <f t="shared" si="14"/>
        <v>5.5555555555555358E-3</v>
      </c>
      <c r="AR9" t="s">
        <v>1</v>
      </c>
      <c r="AS9" t="s">
        <v>6</v>
      </c>
      <c r="AT9" s="2">
        <v>0.45833333333333331</v>
      </c>
      <c r="AU9" s="2">
        <f t="shared" si="20"/>
        <v>0.48749999999999993</v>
      </c>
      <c r="AV9" s="2">
        <f t="shared" si="6"/>
        <v>2.9166666666666619E-2</v>
      </c>
      <c r="AW9" s="2">
        <f t="shared" si="15"/>
        <v>5.5555555555555913E-3</v>
      </c>
      <c r="AY9" t="s">
        <v>6</v>
      </c>
      <c r="AZ9" t="s">
        <v>1</v>
      </c>
      <c r="BA9" s="2">
        <v>0.74305555555555558</v>
      </c>
      <c r="BB9" s="2">
        <f t="shared" si="21"/>
        <v>0.77222222222222225</v>
      </c>
      <c r="BC9" s="2">
        <f t="shared" si="7"/>
        <v>2.9166666666666674E-2</v>
      </c>
      <c r="BD9" s="2">
        <f t="shared" si="16"/>
        <v>5.5555555555555358E-3</v>
      </c>
      <c r="BF9" t="s">
        <v>1</v>
      </c>
      <c r="BG9" t="s">
        <v>6</v>
      </c>
      <c r="BH9" s="2"/>
      <c r="BI9" s="2">
        <f t="shared" si="22"/>
        <v>2.9166666666666674E-2</v>
      </c>
      <c r="BJ9" s="2">
        <f t="shared" si="8"/>
        <v>2.9166666666666674E-2</v>
      </c>
      <c r="BK9" s="2">
        <f t="shared" si="17"/>
        <v>-2.9166666666666674E-2</v>
      </c>
    </row>
    <row r="10" spans="2:63" x14ac:dyDescent="0.3">
      <c r="B10" t="s">
        <v>6</v>
      </c>
      <c r="C10" t="s">
        <v>1</v>
      </c>
      <c r="D10" s="2">
        <v>0.46527777777777779</v>
      </c>
      <c r="E10" s="2">
        <v>0.49444444444444446</v>
      </c>
      <c r="F10" s="2">
        <f t="shared" si="0"/>
        <v>2.9166666666666674E-2</v>
      </c>
      <c r="G10" s="2">
        <f t="shared" si="9"/>
        <v>5.5555555555555913E-3</v>
      </c>
      <c r="I10" t="s">
        <v>1</v>
      </c>
      <c r="J10" t="s">
        <v>6</v>
      </c>
      <c r="K10" s="2">
        <v>0.47222222222222221</v>
      </c>
      <c r="L10" s="2">
        <v>0.50138888888888888</v>
      </c>
      <c r="M10" s="2">
        <f t="shared" si="1"/>
        <v>2.9166666666666674E-2</v>
      </c>
      <c r="N10" s="2">
        <f t="shared" si="10"/>
        <v>1.2500000000000011E-2</v>
      </c>
      <c r="P10" t="s">
        <v>6</v>
      </c>
      <c r="Q10" t="s">
        <v>1</v>
      </c>
      <c r="R10" s="2">
        <v>0.47222222222222221</v>
      </c>
      <c r="S10" s="2">
        <v>0.50138888888888888</v>
      </c>
      <c r="T10" s="2">
        <f t="shared" si="2"/>
        <v>2.9166666666666674E-2</v>
      </c>
      <c r="U10" s="2">
        <f t="shared" si="11"/>
        <v>5.5555555555555358E-3</v>
      </c>
      <c r="W10" t="s">
        <v>1</v>
      </c>
      <c r="X10" t="s">
        <v>6</v>
      </c>
      <c r="Y10" s="2">
        <v>0.47916666666666669</v>
      </c>
      <c r="Z10" s="2">
        <v>0.5083333333333333</v>
      </c>
      <c r="AA10" s="2">
        <f t="shared" si="3"/>
        <v>2.9166666666666619E-2</v>
      </c>
      <c r="AB10" s="2">
        <f t="shared" si="12"/>
        <v>5.5555555555555913E-3</v>
      </c>
      <c r="AD10" t="s">
        <v>6</v>
      </c>
      <c r="AE10" t="s">
        <v>1</v>
      </c>
      <c r="AF10" s="2">
        <v>0.4861111111111111</v>
      </c>
      <c r="AG10" s="2">
        <f t="shared" si="18"/>
        <v>0.51527777777777783</v>
      </c>
      <c r="AH10" s="2">
        <f t="shared" si="4"/>
        <v>2.916666666666673E-2</v>
      </c>
      <c r="AI10" s="2">
        <f t="shared" si="13"/>
        <v>5.5555555555554803E-3</v>
      </c>
      <c r="AK10" t="s">
        <v>1</v>
      </c>
      <c r="AL10" t="s">
        <v>6</v>
      </c>
      <c r="AM10" s="2">
        <v>0.49305555555555558</v>
      </c>
      <c r="AN10" s="2">
        <f t="shared" si="19"/>
        <v>0.52222222222222225</v>
      </c>
      <c r="AO10" s="2">
        <f t="shared" si="5"/>
        <v>2.9166666666666674E-2</v>
      </c>
      <c r="AP10" s="2">
        <f t="shared" si="14"/>
        <v>1.2500000000000011E-2</v>
      </c>
      <c r="AR10" t="s">
        <v>6</v>
      </c>
      <c r="AS10" t="s">
        <v>1</v>
      </c>
      <c r="AT10" s="2">
        <v>0.49305555555555558</v>
      </c>
      <c r="AU10" s="2">
        <f t="shared" si="20"/>
        <v>0.52222222222222225</v>
      </c>
      <c r="AV10" s="2">
        <f t="shared" si="6"/>
        <v>2.9166666666666674E-2</v>
      </c>
      <c r="AW10" s="2">
        <f t="shared" si="15"/>
        <v>5.5555555555556468E-3</v>
      </c>
      <c r="AY10" t="s">
        <v>1</v>
      </c>
      <c r="AZ10" t="s">
        <v>6</v>
      </c>
      <c r="BA10" s="2">
        <v>0.78472222222222221</v>
      </c>
      <c r="BB10" s="2">
        <f t="shared" si="21"/>
        <v>0.81388888888888888</v>
      </c>
      <c r="BC10" s="2">
        <f t="shared" si="7"/>
        <v>2.9166666666666674E-2</v>
      </c>
      <c r="BD10" s="2">
        <f t="shared" si="16"/>
        <v>1.2499999999999956E-2</v>
      </c>
      <c r="BF10" t="s">
        <v>6</v>
      </c>
      <c r="BG10" t="s">
        <v>1</v>
      </c>
      <c r="BH10" s="2"/>
      <c r="BI10" s="2">
        <f t="shared" si="22"/>
        <v>2.9166666666666674E-2</v>
      </c>
      <c r="BJ10" s="2">
        <f t="shared" si="8"/>
        <v>2.9166666666666674E-2</v>
      </c>
      <c r="BK10" s="2">
        <f t="shared" si="17"/>
        <v>-2.9166666666666674E-2</v>
      </c>
    </row>
    <row r="11" spans="2:63" x14ac:dyDescent="0.3">
      <c r="B11" t="s">
        <v>1</v>
      </c>
      <c r="C11" t="s">
        <v>6</v>
      </c>
      <c r="D11" s="2">
        <v>0.5</v>
      </c>
      <c r="E11" s="2">
        <v>0.52916666666666667</v>
      </c>
      <c r="F11" s="2">
        <f t="shared" si="0"/>
        <v>2.9166666666666674E-2</v>
      </c>
      <c r="G11" s="2">
        <f t="shared" si="9"/>
        <v>5.5555555555555358E-3</v>
      </c>
      <c r="I11" t="s">
        <v>6</v>
      </c>
      <c r="J11" t="s">
        <v>1</v>
      </c>
      <c r="K11" s="2">
        <v>0.50694444444444442</v>
      </c>
      <c r="L11" s="2">
        <v>0.53611111111111109</v>
      </c>
      <c r="M11" s="2">
        <f t="shared" si="1"/>
        <v>2.9166666666666674E-2</v>
      </c>
      <c r="N11" s="2">
        <f t="shared" si="10"/>
        <v>5.5555555555555358E-3</v>
      </c>
      <c r="P11" t="s">
        <v>1</v>
      </c>
      <c r="Q11" t="s">
        <v>6</v>
      </c>
      <c r="R11" s="2">
        <v>0.51388888888888884</v>
      </c>
      <c r="S11" s="2">
        <v>0.54305555555555551</v>
      </c>
      <c r="T11" s="2">
        <f t="shared" si="2"/>
        <v>2.9166666666666674E-2</v>
      </c>
      <c r="U11" s="2">
        <f t="shared" si="11"/>
        <v>1.2499999999999956E-2</v>
      </c>
      <c r="W11" t="s">
        <v>6</v>
      </c>
      <c r="X11" t="s">
        <v>1</v>
      </c>
      <c r="Y11" s="2">
        <v>0.51388888888888884</v>
      </c>
      <c r="Z11" s="2">
        <v>0.54305555555555551</v>
      </c>
      <c r="AA11" s="2">
        <f t="shared" si="3"/>
        <v>2.9166666666666674E-2</v>
      </c>
      <c r="AB11" s="2">
        <f t="shared" si="12"/>
        <v>5.5555555555555358E-3</v>
      </c>
      <c r="AD11" t="s">
        <v>1</v>
      </c>
      <c r="AE11" t="s">
        <v>6</v>
      </c>
      <c r="AF11" s="2">
        <v>0.52083333333333337</v>
      </c>
      <c r="AG11" s="2">
        <f t="shared" si="18"/>
        <v>0.55000000000000004</v>
      </c>
      <c r="AH11" s="2">
        <f t="shared" si="4"/>
        <v>2.9166666666666674E-2</v>
      </c>
      <c r="AI11" s="2">
        <f t="shared" si="13"/>
        <v>5.5555555555555358E-3</v>
      </c>
      <c r="AK11" t="s">
        <v>6</v>
      </c>
      <c r="AL11" t="s">
        <v>1</v>
      </c>
      <c r="AM11" s="2">
        <v>0.52777777777777779</v>
      </c>
      <c r="AN11" s="2">
        <f t="shared" si="19"/>
        <v>0.55694444444444446</v>
      </c>
      <c r="AO11" s="2">
        <f t="shared" si="5"/>
        <v>2.9166666666666674E-2</v>
      </c>
      <c r="AP11" s="2">
        <f t="shared" si="14"/>
        <v>5.5555555555555358E-3</v>
      </c>
      <c r="AR11" t="s">
        <v>1</v>
      </c>
      <c r="AS11" t="s">
        <v>6</v>
      </c>
      <c r="AT11" s="2">
        <v>0.53472222222222221</v>
      </c>
      <c r="AU11" s="2">
        <f t="shared" si="20"/>
        <v>0.56388888888888888</v>
      </c>
      <c r="AV11" s="2">
        <f t="shared" si="6"/>
        <v>2.9166666666666674E-2</v>
      </c>
      <c r="AW11" s="2">
        <f t="shared" si="15"/>
        <v>1.2499999999999956E-2</v>
      </c>
      <c r="AY11" t="s">
        <v>6</v>
      </c>
      <c r="AZ11" t="s">
        <v>1</v>
      </c>
      <c r="BA11" s="2"/>
      <c r="BB11" s="2"/>
      <c r="BC11" s="2"/>
      <c r="BD11" s="2"/>
      <c r="BF11" t="s">
        <v>1</v>
      </c>
      <c r="BG11" t="s">
        <v>6</v>
      </c>
      <c r="BH11" s="2"/>
      <c r="BI11" s="2">
        <f t="shared" si="22"/>
        <v>2.9166666666666674E-2</v>
      </c>
      <c r="BJ11" s="2">
        <f t="shared" si="8"/>
        <v>2.9166666666666674E-2</v>
      </c>
      <c r="BK11" s="2">
        <f t="shared" si="17"/>
        <v>-2.9166666666666674E-2</v>
      </c>
    </row>
    <row r="12" spans="2:63" x14ac:dyDescent="0.3">
      <c r="B12" t="s">
        <v>6</v>
      </c>
      <c r="C12" t="s">
        <v>1</v>
      </c>
      <c r="D12" s="2">
        <v>0.53472222222222221</v>
      </c>
      <c r="E12" s="2">
        <v>0.56388888888888888</v>
      </c>
      <c r="F12" s="2">
        <f t="shared" si="0"/>
        <v>2.9166666666666674E-2</v>
      </c>
      <c r="G12" s="2">
        <f t="shared" si="9"/>
        <v>5.5555555555555358E-3</v>
      </c>
      <c r="I12" t="s">
        <v>1</v>
      </c>
      <c r="J12" t="s">
        <v>6</v>
      </c>
      <c r="K12" s="2">
        <v>0.54166666666666663</v>
      </c>
      <c r="L12" s="2">
        <v>0.5708333333333333</v>
      </c>
      <c r="M12" s="2">
        <f t="shared" si="1"/>
        <v>2.9166666666666674E-2</v>
      </c>
      <c r="N12" s="2">
        <f t="shared" si="10"/>
        <v>5.5555555555555358E-3</v>
      </c>
      <c r="P12" t="s">
        <v>6</v>
      </c>
      <c r="Q12" t="s">
        <v>1</v>
      </c>
      <c r="R12" s="2">
        <v>0.54861111111111116</v>
      </c>
      <c r="S12" s="2">
        <v>0.57777777777777772</v>
      </c>
      <c r="T12" s="2">
        <f t="shared" si="2"/>
        <v>2.9166666666666563E-2</v>
      </c>
      <c r="U12" s="2">
        <f t="shared" si="11"/>
        <v>5.5555555555556468E-3</v>
      </c>
      <c r="W12" t="s">
        <v>1</v>
      </c>
      <c r="X12" t="s">
        <v>6</v>
      </c>
      <c r="Y12" s="2">
        <v>0.55555555555555558</v>
      </c>
      <c r="Z12" s="2">
        <v>0.58472222222222225</v>
      </c>
      <c r="AA12" s="2">
        <f t="shared" si="3"/>
        <v>2.9166666666666674E-2</v>
      </c>
      <c r="AB12" s="2">
        <f t="shared" si="12"/>
        <v>1.2500000000000067E-2</v>
      </c>
      <c r="AD12" t="s">
        <v>6</v>
      </c>
      <c r="AE12" t="s">
        <v>1</v>
      </c>
      <c r="AF12" s="2">
        <v>0.55555555555555558</v>
      </c>
      <c r="AG12" s="2">
        <f t="shared" si="18"/>
        <v>0.58472222222222225</v>
      </c>
      <c r="AH12" s="2">
        <f t="shared" si="4"/>
        <v>2.9166666666666674E-2</v>
      </c>
      <c r="AI12" s="2">
        <f t="shared" si="13"/>
        <v>5.5555555555555358E-3</v>
      </c>
      <c r="AK12" t="s">
        <v>1</v>
      </c>
      <c r="AL12" t="s">
        <v>6</v>
      </c>
      <c r="AM12" s="2">
        <v>0.5625</v>
      </c>
      <c r="AN12" s="2">
        <f t="shared" si="19"/>
        <v>0.59166666666666667</v>
      </c>
      <c r="AO12" s="2">
        <f t="shared" si="5"/>
        <v>2.9166666666666674E-2</v>
      </c>
      <c r="AP12" s="2">
        <f t="shared" si="14"/>
        <v>5.5555555555555358E-3</v>
      </c>
      <c r="AR12" t="s">
        <v>6</v>
      </c>
      <c r="AS12" t="s">
        <v>1</v>
      </c>
      <c r="AT12" s="2">
        <v>0.56944444444444442</v>
      </c>
      <c r="AU12" s="2">
        <f t="shared" si="20"/>
        <v>0.59861111111111109</v>
      </c>
      <c r="AV12" s="2">
        <f t="shared" si="6"/>
        <v>2.9166666666666674E-2</v>
      </c>
      <c r="AW12" s="2">
        <f t="shared" si="15"/>
        <v>5.5555555555555358E-3</v>
      </c>
      <c r="AY12" t="s">
        <v>1</v>
      </c>
      <c r="AZ12" t="s">
        <v>6</v>
      </c>
      <c r="BA12" s="2"/>
      <c r="BB12" s="2"/>
      <c r="BC12" s="2"/>
      <c r="BD12" s="2"/>
      <c r="BF12" t="s">
        <v>6</v>
      </c>
      <c r="BG12" t="s">
        <v>1</v>
      </c>
      <c r="BH12" s="2"/>
      <c r="BI12" s="2">
        <f t="shared" si="22"/>
        <v>2.9166666666666674E-2</v>
      </c>
      <c r="BJ12" s="2">
        <f t="shared" si="8"/>
        <v>2.9166666666666674E-2</v>
      </c>
      <c r="BK12" s="2">
        <f t="shared" si="17"/>
        <v>-2.9166666666666674E-2</v>
      </c>
    </row>
    <row r="13" spans="2:63" x14ac:dyDescent="0.3">
      <c r="B13" t="s">
        <v>1</v>
      </c>
      <c r="C13" t="s">
        <v>6</v>
      </c>
      <c r="D13" s="2">
        <v>0.57638888888888884</v>
      </c>
      <c r="E13" s="2">
        <v>0.60555555555555551</v>
      </c>
      <c r="F13" s="2">
        <f t="shared" si="0"/>
        <v>2.9166666666666674E-2</v>
      </c>
      <c r="G13" s="2">
        <f t="shared" si="9"/>
        <v>1.2499999999999956E-2</v>
      </c>
      <c r="I13" t="s">
        <v>6</v>
      </c>
      <c r="J13" t="s">
        <v>1</v>
      </c>
      <c r="K13" s="2">
        <v>0.57638888888888884</v>
      </c>
      <c r="L13" s="2">
        <v>0.60555555555555551</v>
      </c>
      <c r="M13" s="2">
        <f t="shared" si="1"/>
        <v>2.9166666666666674E-2</v>
      </c>
      <c r="N13" s="2">
        <f t="shared" si="10"/>
        <v>5.5555555555555358E-3</v>
      </c>
      <c r="P13" t="s">
        <v>1</v>
      </c>
      <c r="Q13" t="s">
        <v>6</v>
      </c>
      <c r="R13" s="2">
        <v>0.58333333333333337</v>
      </c>
      <c r="S13" s="2">
        <v>0.61250000000000004</v>
      </c>
      <c r="T13" s="2">
        <f t="shared" si="2"/>
        <v>2.9166666666666674E-2</v>
      </c>
      <c r="U13" s="2">
        <f t="shared" si="11"/>
        <v>5.5555555555556468E-3</v>
      </c>
      <c r="W13" t="s">
        <v>6</v>
      </c>
      <c r="X13" t="s">
        <v>1</v>
      </c>
      <c r="Y13" s="2">
        <v>0.59027777777777779</v>
      </c>
      <c r="Z13" s="2">
        <v>0.61944444444444446</v>
      </c>
      <c r="AA13" s="2">
        <f t="shared" si="3"/>
        <v>2.9166666666666674E-2</v>
      </c>
      <c r="AB13" s="2">
        <f t="shared" si="12"/>
        <v>5.5555555555555358E-3</v>
      </c>
      <c r="AD13" t="s">
        <v>1</v>
      </c>
      <c r="AE13" t="s">
        <v>6</v>
      </c>
      <c r="AF13" s="2">
        <v>0.59722222222222221</v>
      </c>
      <c r="AG13" s="2">
        <f t="shared" si="18"/>
        <v>0.62638888888888888</v>
      </c>
      <c r="AH13" s="2">
        <f t="shared" si="4"/>
        <v>2.9166666666666674E-2</v>
      </c>
      <c r="AI13" s="2">
        <f t="shared" si="13"/>
        <v>1.2499999999999956E-2</v>
      </c>
      <c r="AK13" t="s">
        <v>6</v>
      </c>
      <c r="AL13" t="s">
        <v>1</v>
      </c>
      <c r="AM13" s="2">
        <v>0.59722222222222221</v>
      </c>
      <c r="AN13" s="2">
        <f t="shared" si="19"/>
        <v>0.62638888888888888</v>
      </c>
      <c r="AO13" s="2">
        <f t="shared" si="5"/>
        <v>2.9166666666666674E-2</v>
      </c>
      <c r="AP13" s="2">
        <f t="shared" si="14"/>
        <v>5.5555555555555358E-3</v>
      </c>
      <c r="AR13" t="s">
        <v>1</v>
      </c>
      <c r="AS13" t="s">
        <v>6</v>
      </c>
      <c r="AT13" s="2">
        <v>0.60416666666666663</v>
      </c>
      <c r="AU13" s="2">
        <f t="shared" si="20"/>
        <v>0.6333333333333333</v>
      </c>
      <c r="AV13" s="2">
        <f t="shared" si="6"/>
        <v>2.9166666666666674E-2</v>
      </c>
      <c r="AW13" s="2">
        <f t="shared" si="15"/>
        <v>5.5555555555555358E-3</v>
      </c>
      <c r="AY13" t="s">
        <v>6</v>
      </c>
      <c r="AZ13" t="s">
        <v>1</v>
      </c>
      <c r="BA13" s="2"/>
      <c r="BB13" s="2"/>
      <c r="BC13" s="2"/>
      <c r="BD13" s="2"/>
      <c r="BF13" t="s">
        <v>1</v>
      </c>
      <c r="BG13" t="s">
        <v>6</v>
      </c>
      <c r="BH13" s="2"/>
      <c r="BI13" s="2">
        <f t="shared" si="22"/>
        <v>2.9166666666666674E-2</v>
      </c>
      <c r="BJ13" s="2">
        <f t="shared" si="8"/>
        <v>2.9166666666666674E-2</v>
      </c>
      <c r="BK13" s="2">
        <f t="shared" si="17"/>
        <v>-2.9166666666666674E-2</v>
      </c>
    </row>
    <row r="14" spans="2:63" x14ac:dyDescent="0.3">
      <c r="B14" t="s">
        <v>6</v>
      </c>
      <c r="C14" t="s">
        <v>1</v>
      </c>
      <c r="D14" s="2">
        <v>0.61111111111111116</v>
      </c>
      <c r="E14" s="2">
        <v>0.64027777777777772</v>
      </c>
      <c r="F14" s="2">
        <f t="shared" si="0"/>
        <v>2.9166666666666563E-2</v>
      </c>
      <c r="G14" s="2">
        <f t="shared" si="9"/>
        <v>5.5555555555556468E-3</v>
      </c>
      <c r="I14" t="s">
        <v>1</v>
      </c>
      <c r="J14" t="s">
        <v>6</v>
      </c>
      <c r="K14" s="2">
        <v>0.61805555555555558</v>
      </c>
      <c r="L14" s="2">
        <v>0.64722222222222225</v>
      </c>
      <c r="M14" s="2">
        <f t="shared" si="1"/>
        <v>2.9166666666666674E-2</v>
      </c>
      <c r="N14" s="2">
        <f t="shared" si="10"/>
        <v>1.2500000000000067E-2</v>
      </c>
      <c r="P14" t="s">
        <v>6</v>
      </c>
      <c r="Q14" t="s">
        <v>1</v>
      </c>
      <c r="R14" s="2">
        <v>0.61944444444444446</v>
      </c>
      <c r="S14" s="2">
        <v>0.64722222222222225</v>
      </c>
      <c r="T14" s="2">
        <f t="shared" si="2"/>
        <v>2.777777777777779E-2</v>
      </c>
      <c r="U14" s="2">
        <f t="shared" si="11"/>
        <v>6.9444444444444198E-3</v>
      </c>
      <c r="W14" t="s">
        <v>1</v>
      </c>
      <c r="X14" t="s">
        <v>6</v>
      </c>
      <c r="Y14" s="2">
        <v>0.625</v>
      </c>
      <c r="Z14" s="2">
        <v>0.65416666666666667</v>
      </c>
      <c r="AA14" s="2">
        <f t="shared" si="3"/>
        <v>2.9166666666666674E-2</v>
      </c>
      <c r="AB14" s="2">
        <f t="shared" si="12"/>
        <v>5.5555555555555358E-3</v>
      </c>
      <c r="AD14" t="s">
        <v>6</v>
      </c>
      <c r="AE14" t="s">
        <v>1</v>
      </c>
      <c r="AF14" s="2">
        <v>0.63194444444444442</v>
      </c>
      <c r="AG14" s="2">
        <f t="shared" si="18"/>
        <v>0.66111111111111109</v>
      </c>
      <c r="AH14" s="2">
        <f t="shared" si="4"/>
        <v>2.9166666666666674E-2</v>
      </c>
      <c r="AI14" s="2">
        <f t="shared" si="13"/>
        <v>5.5555555555555358E-3</v>
      </c>
      <c r="AK14" t="s">
        <v>1</v>
      </c>
      <c r="AL14" t="s">
        <v>6</v>
      </c>
      <c r="AM14" s="2">
        <v>0.63888888888888884</v>
      </c>
      <c r="AN14" s="2">
        <f t="shared" si="19"/>
        <v>0.66805555555555551</v>
      </c>
      <c r="AO14" s="2">
        <f t="shared" si="5"/>
        <v>2.9166666666666674E-2</v>
      </c>
      <c r="AP14" s="2">
        <f t="shared" si="14"/>
        <v>1.2499999999999956E-2</v>
      </c>
      <c r="AR14" t="s">
        <v>6</v>
      </c>
      <c r="AS14" t="s">
        <v>1</v>
      </c>
      <c r="AT14" s="2">
        <v>0.63888888888888884</v>
      </c>
      <c r="AU14" s="2">
        <f t="shared" si="20"/>
        <v>0.66805555555555551</v>
      </c>
      <c r="AV14" s="2">
        <f t="shared" si="6"/>
        <v>2.9166666666666674E-2</v>
      </c>
      <c r="AW14" s="2">
        <f t="shared" si="15"/>
        <v>5.5555555555555358E-3</v>
      </c>
      <c r="AY14" t="s">
        <v>1</v>
      </c>
      <c r="AZ14" t="s">
        <v>6</v>
      </c>
      <c r="BA14" s="2"/>
      <c r="BB14" s="2"/>
      <c r="BC14" s="2"/>
      <c r="BD14" s="2"/>
      <c r="BF14" t="s">
        <v>6</v>
      </c>
      <c r="BG14" t="s">
        <v>1</v>
      </c>
      <c r="BH14" s="2"/>
      <c r="BI14" s="2">
        <f t="shared" si="22"/>
        <v>2.9166666666666674E-2</v>
      </c>
      <c r="BJ14" s="2">
        <f t="shared" si="8"/>
        <v>2.9166666666666674E-2</v>
      </c>
      <c r="BK14" s="2">
        <f t="shared" si="17"/>
        <v>-2.9166666666666674E-2</v>
      </c>
    </row>
    <row r="15" spans="2:63" x14ac:dyDescent="0.3">
      <c r="B15" t="s">
        <v>1</v>
      </c>
      <c r="C15" t="s">
        <v>6</v>
      </c>
      <c r="D15" s="2">
        <v>0.64583333333333337</v>
      </c>
      <c r="E15" s="2">
        <v>0.67500000000000004</v>
      </c>
      <c r="F15" s="2">
        <f t="shared" si="0"/>
        <v>2.9166666666666674E-2</v>
      </c>
      <c r="G15" s="2">
        <f t="shared" si="9"/>
        <v>5.5555555555556468E-3</v>
      </c>
      <c r="I15" t="s">
        <v>6</v>
      </c>
      <c r="J15" t="s">
        <v>1</v>
      </c>
      <c r="K15" s="2">
        <v>0.65277777777777779</v>
      </c>
      <c r="L15" s="2">
        <v>0.68194444444444446</v>
      </c>
      <c r="M15" s="2">
        <f t="shared" si="1"/>
        <v>2.9166666666666674E-2</v>
      </c>
      <c r="N15" s="2">
        <f t="shared" si="10"/>
        <v>5.5555555555555358E-3</v>
      </c>
      <c r="P15" t="s">
        <v>1</v>
      </c>
      <c r="Q15" t="s">
        <v>6</v>
      </c>
      <c r="R15" s="2">
        <v>0.65972222222222221</v>
      </c>
      <c r="S15" s="2">
        <v>0.68888888888888888</v>
      </c>
      <c r="T15" s="2">
        <f t="shared" si="2"/>
        <v>2.9166666666666674E-2</v>
      </c>
      <c r="U15" s="2">
        <f t="shared" si="11"/>
        <v>1.2499999999999956E-2</v>
      </c>
      <c r="W15" t="s">
        <v>6</v>
      </c>
      <c r="X15" t="s">
        <v>1</v>
      </c>
      <c r="Y15" s="2">
        <v>0.65972222222222221</v>
      </c>
      <c r="Z15" s="2">
        <v>0.68888888888888888</v>
      </c>
      <c r="AA15" s="2">
        <f t="shared" si="3"/>
        <v>2.9166666666666674E-2</v>
      </c>
      <c r="AB15" s="2">
        <f t="shared" si="12"/>
        <v>5.5555555555555358E-3</v>
      </c>
      <c r="AD15" t="s">
        <v>1</v>
      </c>
      <c r="AE15" t="s">
        <v>6</v>
      </c>
      <c r="AF15" s="2">
        <v>0.66666666666666663</v>
      </c>
      <c r="AG15" s="2">
        <f t="shared" si="18"/>
        <v>0.6958333333333333</v>
      </c>
      <c r="AH15" s="2">
        <f t="shared" si="4"/>
        <v>2.9166666666666674E-2</v>
      </c>
      <c r="AI15" s="2">
        <f t="shared" si="13"/>
        <v>5.5555555555555358E-3</v>
      </c>
      <c r="AK15" t="s">
        <v>6</v>
      </c>
      <c r="AL15" t="s">
        <v>1</v>
      </c>
      <c r="AM15" s="2">
        <v>0.67361111111111116</v>
      </c>
      <c r="AN15" s="2">
        <f t="shared" si="19"/>
        <v>0.70277777777777783</v>
      </c>
      <c r="AO15" s="2">
        <f t="shared" si="5"/>
        <v>2.9166666666666674E-2</v>
      </c>
      <c r="AP15" s="2">
        <f t="shared" si="14"/>
        <v>5.5555555555556468E-3</v>
      </c>
      <c r="AR15" t="s">
        <v>1</v>
      </c>
      <c r="AS15" t="s">
        <v>6</v>
      </c>
      <c r="AT15" s="2">
        <v>0.68055555555555558</v>
      </c>
      <c r="AU15" s="2">
        <f t="shared" si="20"/>
        <v>0.70972222222222225</v>
      </c>
      <c r="AV15" s="2">
        <f t="shared" si="6"/>
        <v>2.9166666666666674E-2</v>
      </c>
      <c r="AW15" s="2">
        <f t="shared" si="15"/>
        <v>1.2500000000000067E-2</v>
      </c>
      <c r="AY15" t="s">
        <v>6</v>
      </c>
      <c r="AZ15" t="s">
        <v>1</v>
      </c>
      <c r="BA15" s="2"/>
      <c r="BB15" s="2"/>
      <c r="BC15" s="2"/>
      <c r="BD15" s="2"/>
      <c r="BF15" t="s">
        <v>1</v>
      </c>
      <c r="BG15" t="s">
        <v>6</v>
      </c>
      <c r="BH15" s="2"/>
      <c r="BI15" s="2">
        <f t="shared" si="22"/>
        <v>2.9166666666666674E-2</v>
      </c>
      <c r="BJ15" s="2">
        <f t="shared" si="8"/>
        <v>2.9166666666666674E-2</v>
      </c>
      <c r="BK15" s="2">
        <f t="shared" si="17"/>
        <v>-2.9166666666666674E-2</v>
      </c>
    </row>
    <row r="16" spans="2:63" x14ac:dyDescent="0.3">
      <c r="B16" t="s">
        <v>6</v>
      </c>
      <c r="C16" t="s">
        <v>1</v>
      </c>
      <c r="D16" s="2">
        <v>0.68055555555555558</v>
      </c>
      <c r="E16" s="2">
        <v>0.70972222222222225</v>
      </c>
      <c r="F16" s="2">
        <f t="shared" si="0"/>
        <v>2.9166666666666674E-2</v>
      </c>
      <c r="G16" s="2">
        <f t="shared" si="9"/>
        <v>5.5555555555555358E-3</v>
      </c>
      <c r="I16" t="s">
        <v>1</v>
      </c>
      <c r="J16" t="s">
        <v>6</v>
      </c>
      <c r="K16" s="2">
        <v>0.6875</v>
      </c>
      <c r="L16" s="2">
        <v>0.71666666666666667</v>
      </c>
      <c r="M16" s="2">
        <f t="shared" si="1"/>
        <v>2.9166666666666674E-2</v>
      </c>
      <c r="N16" s="2">
        <f t="shared" si="10"/>
        <v>5.5555555555555358E-3</v>
      </c>
      <c r="P16" t="s">
        <v>6</v>
      </c>
      <c r="Q16" t="s">
        <v>1</v>
      </c>
      <c r="R16" s="2">
        <v>0.69444444444444442</v>
      </c>
      <c r="S16" s="2">
        <v>0.72361111111111109</v>
      </c>
      <c r="T16" s="2">
        <f t="shared" si="2"/>
        <v>2.9166666666666674E-2</v>
      </c>
      <c r="U16" s="2">
        <f t="shared" si="11"/>
        <v>5.5555555555555358E-3</v>
      </c>
      <c r="W16" t="s">
        <v>1</v>
      </c>
      <c r="X16" t="s">
        <v>6</v>
      </c>
      <c r="Y16" s="2">
        <v>0.70138888888888884</v>
      </c>
      <c r="Z16" s="2">
        <v>0.73055555555555551</v>
      </c>
      <c r="AA16" s="2">
        <f t="shared" si="3"/>
        <v>2.9166666666666674E-2</v>
      </c>
      <c r="AB16" s="2">
        <f t="shared" si="12"/>
        <v>1.2499999999999956E-2</v>
      </c>
      <c r="AD16" t="s">
        <v>6</v>
      </c>
      <c r="AE16" t="s">
        <v>1</v>
      </c>
      <c r="AF16" s="2">
        <v>0.70138888888888884</v>
      </c>
      <c r="AG16" s="2">
        <f t="shared" si="18"/>
        <v>0.73055555555555551</v>
      </c>
      <c r="AH16" s="2">
        <f t="shared" si="4"/>
        <v>2.9166666666666674E-2</v>
      </c>
      <c r="AI16" s="2">
        <f t="shared" si="13"/>
        <v>5.5555555555555358E-3</v>
      </c>
      <c r="AK16" t="s">
        <v>1</v>
      </c>
      <c r="AL16" t="s">
        <v>6</v>
      </c>
      <c r="AM16" s="2">
        <v>0.70833333333333337</v>
      </c>
      <c r="AN16" s="2">
        <f t="shared" si="19"/>
        <v>0.73750000000000004</v>
      </c>
      <c r="AO16" s="2">
        <f t="shared" si="5"/>
        <v>2.9166666666666674E-2</v>
      </c>
      <c r="AP16" s="2">
        <f t="shared" si="14"/>
        <v>5.5555555555555358E-3</v>
      </c>
      <c r="AR16" t="s">
        <v>6</v>
      </c>
      <c r="AS16" t="s">
        <v>1</v>
      </c>
      <c r="AT16" s="2">
        <v>0.71527777777777779</v>
      </c>
      <c r="AU16" s="2">
        <f t="shared" si="20"/>
        <v>0.74444444444444446</v>
      </c>
      <c r="AV16" s="2">
        <f t="shared" si="6"/>
        <v>2.9166666666666674E-2</v>
      </c>
      <c r="AW16" s="2">
        <f t="shared" si="15"/>
        <v>5.5555555555555358E-3</v>
      </c>
      <c r="AY16" t="s">
        <v>1</v>
      </c>
      <c r="AZ16" t="s">
        <v>6</v>
      </c>
      <c r="BA16" s="2"/>
      <c r="BB16" s="2"/>
      <c r="BC16" s="2"/>
      <c r="BD16" s="2"/>
      <c r="BF16" t="s">
        <v>6</v>
      </c>
      <c r="BG16" t="s">
        <v>1</v>
      </c>
      <c r="BH16" s="2"/>
      <c r="BI16" s="2">
        <f t="shared" si="22"/>
        <v>2.9166666666666674E-2</v>
      </c>
      <c r="BJ16" s="2">
        <f t="shared" si="8"/>
        <v>2.9166666666666674E-2</v>
      </c>
      <c r="BK16" s="2">
        <f t="shared" si="17"/>
        <v>-2.9166666666666674E-2</v>
      </c>
    </row>
    <row r="17" spans="1:63" x14ac:dyDescent="0.3">
      <c r="B17" t="s">
        <v>1</v>
      </c>
      <c r="C17" t="s">
        <v>6</v>
      </c>
      <c r="D17" s="2">
        <v>0.72222222222222221</v>
      </c>
      <c r="E17" s="2">
        <v>0.75138888888888888</v>
      </c>
      <c r="F17" s="2">
        <f t="shared" si="0"/>
        <v>2.9166666666666674E-2</v>
      </c>
      <c r="G17" s="2">
        <f t="shared" si="9"/>
        <v>1.2499999999999956E-2</v>
      </c>
      <c r="I17" t="s">
        <v>6</v>
      </c>
      <c r="J17" t="s">
        <v>1</v>
      </c>
      <c r="K17" s="2">
        <v>0.72222222222222221</v>
      </c>
      <c r="L17" s="2">
        <v>0.75138888888888888</v>
      </c>
      <c r="M17" s="2">
        <f t="shared" si="1"/>
        <v>2.9166666666666674E-2</v>
      </c>
      <c r="N17" s="2">
        <f t="shared" si="10"/>
        <v>5.5555555555555358E-3</v>
      </c>
      <c r="P17" t="s">
        <v>1</v>
      </c>
      <c r="Q17" t="s">
        <v>6</v>
      </c>
      <c r="R17" s="2">
        <v>0.72916666666666663</v>
      </c>
      <c r="S17" s="2">
        <v>0.7583333333333333</v>
      </c>
      <c r="T17" s="2">
        <f t="shared" si="2"/>
        <v>2.9166666666666674E-2</v>
      </c>
      <c r="U17" s="2">
        <f t="shared" si="11"/>
        <v>5.5555555555555358E-3</v>
      </c>
      <c r="W17" t="s">
        <v>6</v>
      </c>
      <c r="X17" t="s">
        <v>1</v>
      </c>
      <c r="Y17" s="2">
        <v>0.73611111111111116</v>
      </c>
      <c r="Z17" s="2">
        <v>0.76527777777777772</v>
      </c>
      <c r="AA17" s="2">
        <f t="shared" si="3"/>
        <v>2.9166666666666563E-2</v>
      </c>
      <c r="AB17" s="2">
        <f t="shared" si="12"/>
        <v>5.5555555555556468E-3</v>
      </c>
      <c r="AD17" t="s">
        <v>1</v>
      </c>
      <c r="AE17" t="s">
        <v>6</v>
      </c>
      <c r="AF17" s="2">
        <v>0.74305555555555558</v>
      </c>
      <c r="AG17" s="2">
        <f t="shared" si="18"/>
        <v>0.77222222222222225</v>
      </c>
      <c r="AH17" s="2">
        <f t="shared" si="4"/>
        <v>2.9166666666666674E-2</v>
      </c>
      <c r="AI17" s="2">
        <f t="shared" si="13"/>
        <v>1.2500000000000067E-2</v>
      </c>
      <c r="AK17" t="s">
        <v>6</v>
      </c>
      <c r="AL17" t="s">
        <v>1</v>
      </c>
      <c r="AM17" s="2">
        <v>0.74305555555555558</v>
      </c>
      <c r="AN17" s="2">
        <f t="shared" si="19"/>
        <v>0.77222222222222225</v>
      </c>
      <c r="AO17" s="2">
        <f t="shared" si="5"/>
        <v>2.9166666666666674E-2</v>
      </c>
      <c r="AP17" s="2">
        <f t="shared" si="14"/>
        <v>5.5555555555555358E-3</v>
      </c>
      <c r="AR17" t="s">
        <v>1</v>
      </c>
      <c r="AS17" t="s">
        <v>6</v>
      </c>
      <c r="AT17" s="2">
        <v>0.75</v>
      </c>
      <c r="AU17" s="2">
        <f t="shared" si="20"/>
        <v>0.77916666666666667</v>
      </c>
      <c r="AV17" s="2">
        <f t="shared" si="6"/>
        <v>2.9166666666666674E-2</v>
      </c>
      <c r="AW17" s="2">
        <f t="shared" si="15"/>
        <v>5.5555555555555358E-3</v>
      </c>
      <c r="AY17" t="s">
        <v>6</v>
      </c>
      <c r="AZ17" t="s">
        <v>1</v>
      </c>
      <c r="BA17" s="2"/>
      <c r="BB17" s="2"/>
      <c r="BC17" s="2"/>
      <c r="BD17" s="2"/>
      <c r="BF17" t="s">
        <v>1</v>
      </c>
      <c r="BG17" t="s">
        <v>6</v>
      </c>
      <c r="BH17" s="2"/>
      <c r="BI17" s="2">
        <f t="shared" si="22"/>
        <v>2.9166666666666674E-2</v>
      </c>
      <c r="BJ17" s="2">
        <f t="shared" si="8"/>
        <v>2.9166666666666674E-2</v>
      </c>
      <c r="BK17" s="2">
        <f t="shared" si="17"/>
        <v>-2.9166666666666674E-2</v>
      </c>
    </row>
    <row r="18" spans="1:63" x14ac:dyDescent="0.3">
      <c r="B18" t="s">
        <v>6</v>
      </c>
      <c r="C18" t="s">
        <v>1</v>
      </c>
      <c r="D18" s="2">
        <v>0.75694444444444442</v>
      </c>
      <c r="E18" s="2">
        <v>0.78611111111111109</v>
      </c>
      <c r="F18" s="2">
        <f t="shared" si="0"/>
        <v>2.9166666666666674E-2</v>
      </c>
      <c r="G18" s="2">
        <f t="shared" ref="G18:G24" si="23">D18-E17</f>
        <v>5.5555555555555358E-3</v>
      </c>
      <c r="I18" t="s">
        <v>1</v>
      </c>
      <c r="J18" t="s">
        <v>6</v>
      </c>
      <c r="K18" s="2">
        <v>0.76388888888888884</v>
      </c>
      <c r="L18" s="2">
        <v>0.79305555555555551</v>
      </c>
      <c r="M18" s="2">
        <f t="shared" si="1"/>
        <v>2.9166666666666674E-2</v>
      </c>
      <c r="N18" s="2">
        <f t="shared" si="10"/>
        <v>1.2499999999999956E-2</v>
      </c>
      <c r="P18" t="s">
        <v>6</v>
      </c>
      <c r="Q18" t="s">
        <v>1</v>
      </c>
      <c r="R18" s="2">
        <v>0.76388888888888884</v>
      </c>
      <c r="S18" s="2">
        <v>0.79305555555555551</v>
      </c>
      <c r="T18" s="2">
        <f t="shared" si="2"/>
        <v>2.9166666666666674E-2</v>
      </c>
      <c r="U18" s="2">
        <f t="shared" si="11"/>
        <v>5.5555555555555358E-3</v>
      </c>
      <c r="W18" t="s">
        <v>1</v>
      </c>
      <c r="X18" t="s">
        <v>6</v>
      </c>
      <c r="Y18" s="2">
        <v>0.77083333333333337</v>
      </c>
      <c r="Z18" s="2">
        <v>0.8</v>
      </c>
      <c r="AA18" s="2">
        <f t="shared" si="3"/>
        <v>2.9166666666666674E-2</v>
      </c>
      <c r="AB18" s="2">
        <f t="shared" si="12"/>
        <v>5.5555555555556468E-3</v>
      </c>
      <c r="AD18" t="s">
        <v>6</v>
      </c>
      <c r="AE18" t="s">
        <v>1</v>
      </c>
      <c r="AF18" s="2">
        <v>0.77777777777777779</v>
      </c>
      <c r="AG18" s="2">
        <f t="shared" si="18"/>
        <v>0.80694444444444446</v>
      </c>
      <c r="AH18" s="2">
        <f t="shared" si="4"/>
        <v>2.9166666666666674E-2</v>
      </c>
      <c r="AI18" s="2">
        <f t="shared" si="13"/>
        <v>5.5555555555555358E-3</v>
      </c>
      <c r="AK18" t="s">
        <v>1</v>
      </c>
      <c r="AL18" t="s">
        <v>6</v>
      </c>
      <c r="AM18" s="2">
        <v>0.78472222222222221</v>
      </c>
      <c r="AN18" s="2">
        <f t="shared" si="19"/>
        <v>0.81388888888888888</v>
      </c>
      <c r="AO18" s="2">
        <f t="shared" si="5"/>
        <v>2.9166666666666674E-2</v>
      </c>
      <c r="AP18" s="2">
        <f t="shared" si="14"/>
        <v>1.2499999999999956E-2</v>
      </c>
      <c r="AR18" t="s">
        <v>6</v>
      </c>
      <c r="AS18" t="s">
        <v>1</v>
      </c>
      <c r="AT18" s="2">
        <v>0.78472222222222221</v>
      </c>
      <c r="AU18" s="2">
        <f t="shared" si="20"/>
        <v>0.81388888888888888</v>
      </c>
      <c r="AV18" s="2">
        <f t="shared" si="6"/>
        <v>2.9166666666666674E-2</v>
      </c>
      <c r="AW18" s="2">
        <f t="shared" si="15"/>
        <v>5.5555555555555358E-3</v>
      </c>
      <c r="AY18" t="s">
        <v>1</v>
      </c>
      <c r="AZ18" t="s">
        <v>6</v>
      </c>
      <c r="BA18" s="2"/>
      <c r="BB18" s="2"/>
      <c r="BC18" s="2"/>
      <c r="BD18" s="2"/>
      <c r="BF18" t="s">
        <v>6</v>
      </c>
      <c r="BG18" t="s">
        <v>1</v>
      </c>
      <c r="BH18" s="2"/>
      <c r="BI18" s="2">
        <f t="shared" si="22"/>
        <v>2.9166666666666674E-2</v>
      </c>
      <c r="BJ18" s="2">
        <f t="shared" si="8"/>
        <v>2.9166666666666674E-2</v>
      </c>
      <c r="BK18" s="2">
        <f t="shared" si="17"/>
        <v>-2.9166666666666674E-2</v>
      </c>
    </row>
    <row r="19" spans="1:63" x14ac:dyDescent="0.3">
      <c r="B19" t="s">
        <v>1</v>
      </c>
      <c r="C19" t="s">
        <v>6</v>
      </c>
      <c r="D19" s="2">
        <v>0.79166666666666663</v>
      </c>
      <c r="E19" s="2">
        <v>0.8208333333333333</v>
      </c>
      <c r="F19" s="2">
        <f t="shared" si="0"/>
        <v>2.9166666666666674E-2</v>
      </c>
      <c r="G19" s="2">
        <f t="shared" si="23"/>
        <v>5.5555555555555358E-3</v>
      </c>
      <c r="I19" t="s">
        <v>6</v>
      </c>
      <c r="J19" t="s">
        <v>1</v>
      </c>
      <c r="K19" s="2">
        <v>0.79861111111111116</v>
      </c>
      <c r="L19" s="2">
        <v>0.82777777777777772</v>
      </c>
      <c r="M19" s="2">
        <f t="shared" si="1"/>
        <v>2.9166666666666563E-2</v>
      </c>
      <c r="N19" s="2">
        <f t="shared" si="10"/>
        <v>5.5555555555556468E-3</v>
      </c>
      <c r="P19" t="s">
        <v>1</v>
      </c>
      <c r="Q19" t="s">
        <v>6</v>
      </c>
      <c r="R19" s="2">
        <v>0.80555555555555558</v>
      </c>
      <c r="S19" s="2">
        <v>0.83472222222222225</v>
      </c>
      <c r="T19" s="2">
        <f t="shared" si="2"/>
        <v>2.9166666666666674E-2</v>
      </c>
      <c r="U19" s="2">
        <f t="shared" si="11"/>
        <v>1.2500000000000067E-2</v>
      </c>
      <c r="W19" t="s">
        <v>6</v>
      </c>
      <c r="X19" t="s">
        <v>1</v>
      </c>
      <c r="Y19" s="2">
        <v>0.80555555555555558</v>
      </c>
      <c r="Z19" s="2">
        <v>0.83472222222222225</v>
      </c>
      <c r="AA19" s="2">
        <f t="shared" si="3"/>
        <v>2.9166666666666674E-2</v>
      </c>
      <c r="AB19" s="2">
        <f t="shared" si="12"/>
        <v>5.5555555555555358E-3</v>
      </c>
      <c r="AD19" t="s">
        <v>1</v>
      </c>
      <c r="AE19" t="s">
        <v>6</v>
      </c>
      <c r="AF19" s="2">
        <v>0.8125</v>
      </c>
      <c r="AG19" s="2">
        <f t="shared" si="18"/>
        <v>0.84166666666666667</v>
      </c>
      <c r="AH19" s="2">
        <f t="shared" si="4"/>
        <v>2.9166666666666674E-2</v>
      </c>
      <c r="AI19" s="2">
        <f t="shared" si="13"/>
        <v>5.5555555555555358E-3</v>
      </c>
      <c r="AK19" t="s">
        <v>6</v>
      </c>
      <c r="AL19" t="s">
        <v>1</v>
      </c>
      <c r="AM19" s="2">
        <v>0.81944444444444442</v>
      </c>
      <c r="AN19" s="2">
        <f t="shared" si="19"/>
        <v>0.84861111111111109</v>
      </c>
      <c r="AO19" s="2">
        <f t="shared" si="5"/>
        <v>2.9166666666666674E-2</v>
      </c>
      <c r="AP19" s="2">
        <f t="shared" si="14"/>
        <v>5.5555555555555358E-3</v>
      </c>
      <c r="AR19" t="s">
        <v>1</v>
      </c>
      <c r="AS19" t="s">
        <v>6</v>
      </c>
      <c r="AT19" s="2">
        <v>0.82638888888888884</v>
      </c>
      <c r="AU19" s="2">
        <f t="shared" si="20"/>
        <v>0.85555555555555551</v>
      </c>
      <c r="AV19" s="2">
        <f t="shared" si="6"/>
        <v>2.9166666666666674E-2</v>
      </c>
      <c r="AW19" s="2">
        <f t="shared" si="15"/>
        <v>1.2499999999999956E-2</v>
      </c>
      <c r="AY19" t="s">
        <v>6</v>
      </c>
      <c r="AZ19" t="s">
        <v>1</v>
      </c>
      <c r="BA19" s="2"/>
      <c r="BB19" s="2"/>
      <c r="BC19" s="2"/>
      <c r="BD19" s="2"/>
      <c r="BF19" t="s">
        <v>1</v>
      </c>
      <c r="BG19" t="s">
        <v>6</v>
      </c>
      <c r="BH19" s="2"/>
      <c r="BI19" s="2">
        <f t="shared" si="22"/>
        <v>2.9166666666666674E-2</v>
      </c>
      <c r="BJ19" s="2">
        <f t="shared" si="8"/>
        <v>2.9166666666666674E-2</v>
      </c>
      <c r="BK19" s="2">
        <f t="shared" si="17"/>
        <v>-2.9166666666666674E-2</v>
      </c>
    </row>
    <row r="20" spans="1:63" x14ac:dyDescent="0.3">
      <c r="B20" t="s">
        <v>6</v>
      </c>
      <c r="C20" t="s">
        <v>1</v>
      </c>
      <c r="D20" s="2">
        <v>0.82638888888888884</v>
      </c>
      <c r="E20" s="2">
        <v>0.85555555555555551</v>
      </c>
      <c r="F20" s="2">
        <f t="shared" si="0"/>
        <v>2.9166666666666674E-2</v>
      </c>
      <c r="G20" s="2">
        <f t="shared" si="23"/>
        <v>5.5555555555555358E-3</v>
      </c>
      <c r="I20" t="s">
        <v>1</v>
      </c>
      <c r="J20" t="s">
        <v>6</v>
      </c>
      <c r="K20" s="2">
        <v>0.83333333333333337</v>
      </c>
      <c r="L20" s="2">
        <v>0.86250000000000004</v>
      </c>
      <c r="M20" s="2">
        <f t="shared" si="1"/>
        <v>2.9166666666666674E-2</v>
      </c>
      <c r="N20" s="2">
        <f t="shared" si="10"/>
        <v>5.5555555555556468E-3</v>
      </c>
      <c r="P20" t="s">
        <v>6</v>
      </c>
      <c r="Q20" t="s">
        <v>1</v>
      </c>
      <c r="R20" s="2">
        <v>0.84027777777777779</v>
      </c>
      <c r="S20" s="2">
        <v>0.86944444444444446</v>
      </c>
      <c r="T20" s="2">
        <f t="shared" si="2"/>
        <v>2.9166666666666674E-2</v>
      </c>
      <c r="U20" s="2">
        <f t="shared" si="11"/>
        <v>5.5555555555555358E-3</v>
      </c>
      <c r="W20" t="s">
        <v>1</v>
      </c>
      <c r="X20" t="s">
        <v>6</v>
      </c>
      <c r="Y20" s="2">
        <v>0.84722222222222221</v>
      </c>
      <c r="Z20" s="2">
        <v>0.87638888888888888</v>
      </c>
      <c r="AA20" s="2">
        <f t="shared" si="3"/>
        <v>2.9166666666666674E-2</v>
      </c>
      <c r="AB20" s="2">
        <f t="shared" si="12"/>
        <v>1.2499999999999956E-2</v>
      </c>
      <c r="AD20" t="s">
        <v>6</v>
      </c>
      <c r="AE20" t="s">
        <v>1</v>
      </c>
      <c r="AF20" s="2">
        <v>0.84722222222222221</v>
      </c>
      <c r="AG20" s="2">
        <f t="shared" si="18"/>
        <v>0.87638888888888888</v>
      </c>
      <c r="AH20" s="2">
        <f t="shared" si="4"/>
        <v>2.9166666666666674E-2</v>
      </c>
      <c r="AI20" s="2">
        <f t="shared" si="13"/>
        <v>5.5555555555555358E-3</v>
      </c>
      <c r="AK20" t="s">
        <v>1</v>
      </c>
      <c r="AL20" t="s">
        <v>6</v>
      </c>
      <c r="AM20" s="2">
        <v>0.85416666666666663</v>
      </c>
      <c r="AN20" s="2">
        <f t="shared" si="19"/>
        <v>0.8833333333333333</v>
      </c>
      <c r="AO20" s="2">
        <f t="shared" si="5"/>
        <v>2.9166666666666674E-2</v>
      </c>
      <c r="AP20" s="2">
        <f t="shared" si="14"/>
        <v>5.5555555555555358E-3</v>
      </c>
      <c r="AR20" t="s">
        <v>6</v>
      </c>
      <c r="AS20" t="s">
        <v>1</v>
      </c>
      <c r="AT20" s="2">
        <v>0.86111111111111116</v>
      </c>
      <c r="AU20" s="2">
        <f t="shared" si="20"/>
        <v>0.89027777777777783</v>
      </c>
      <c r="AV20" s="2">
        <f t="shared" si="6"/>
        <v>2.9166666666666674E-2</v>
      </c>
      <c r="AW20" s="2">
        <f t="shared" si="15"/>
        <v>5.5555555555556468E-3</v>
      </c>
      <c r="AY20" t="s">
        <v>1</v>
      </c>
      <c r="AZ20" t="s">
        <v>6</v>
      </c>
      <c r="BA20" s="2"/>
      <c r="BB20" s="2"/>
      <c r="BC20" s="2"/>
      <c r="BD20" s="2"/>
      <c r="BF20" t="s">
        <v>6</v>
      </c>
      <c r="BG20" t="s">
        <v>1</v>
      </c>
      <c r="BH20" s="2"/>
      <c r="BI20" s="2">
        <f t="shared" si="22"/>
        <v>2.9166666666666674E-2</v>
      </c>
      <c r="BJ20" s="2">
        <f t="shared" si="8"/>
        <v>2.9166666666666674E-2</v>
      </c>
      <c r="BK20" s="2">
        <f t="shared" si="17"/>
        <v>-2.9166666666666674E-2</v>
      </c>
    </row>
    <row r="21" spans="1:63" x14ac:dyDescent="0.3">
      <c r="B21" t="s">
        <v>1</v>
      </c>
      <c r="C21" t="s">
        <v>6</v>
      </c>
      <c r="D21" s="2">
        <v>0.86805555555555558</v>
      </c>
      <c r="E21" s="2">
        <v>0.89722222222222225</v>
      </c>
      <c r="F21" s="2">
        <f t="shared" si="0"/>
        <v>2.9166666666666674E-2</v>
      </c>
      <c r="G21" s="2">
        <f t="shared" si="23"/>
        <v>1.2500000000000067E-2</v>
      </c>
      <c r="I21" t="s">
        <v>6</v>
      </c>
      <c r="J21" t="s">
        <v>1</v>
      </c>
      <c r="K21" s="2">
        <v>0.86805555555555558</v>
      </c>
      <c r="L21" s="2">
        <v>0.89722222222222225</v>
      </c>
      <c r="M21" s="2">
        <f t="shared" si="1"/>
        <v>2.9166666666666674E-2</v>
      </c>
      <c r="N21" s="2">
        <f t="shared" si="10"/>
        <v>5.5555555555555358E-3</v>
      </c>
      <c r="P21" t="s">
        <v>1</v>
      </c>
      <c r="Q21" t="s">
        <v>6</v>
      </c>
      <c r="R21" s="2">
        <v>0.875</v>
      </c>
      <c r="S21" s="2">
        <v>0.90416666666666667</v>
      </c>
      <c r="T21" s="2">
        <f t="shared" si="2"/>
        <v>2.9166666666666674E-2</v>
      </c>
      <c r="U21" s="2">
        <f t="shared" si="11"/>
        <v>5.5555555555555358E-3</v>
      </c>
      <c r="W21" t="s">
        <v>6</v>
      </c>
      <c r="X21" t="s">
        <v>1</v>
      </c>
      <c r="Y21" s="2">
        <v>0.88194444444444442</v>
      </c>
      <c r="Z21" s="2">
        <v>0.91111111111111109</v>
      </c>
      <c r="AA21" s="2">
        <f t="shared" si="3"/>
        <v>2.9166666666666674E-2</v>
      </c>
      <c r="AB21" s="2">
        <f t="shared" si="12"/>
        <v>5.5555555555555358E-3</v>
      </c>
      <c r="AD21" t="s">
        <v>1</v>
      </c>
      <c r="AE21" t="s">
        <v>6</v>
      </c>
      <c r="AF21" s="2">
        <v>0.88888888888888884</v>
      </c>
      <c r="AG21" s="2">
        <f t="shared" si="18"/>
        <v>0.91805555555555551</v>
      </c>
      <c r="AH21" s="2">
        <f t="shared" si="4"/>
        <v>2.9166666666666674E-2</v>
      </c>
      <c r="AI21" s="2">
        <f t="shared" si="13"/>
        <v>1.2499999999999956E-2</v>
      </c>
      <c r="AK21" t="s">
        <v>6</v>
      </c>
      <c r="AL21" t="s">
        <v>1</v>
      </c>
      <c r="AM21" s="2">
        <v>0.88888888888888884</v>
      </c>
      <c r="AN21" s="2">
        <f t="shared" si="19"/>
        <v>0.91805555555555551</v>
      </c>
      <c r="AO21" s="2">
        <f t="shared" si="5"/>
        <v>2.9166666666666674E-2</v>
      </c>
      <c r="AP21" s="2">
        <f t="shared" si="14"/>
        <v>5.5555555555555358E-3</v>
      </c>
      <c r="AR21" t="s">
        <v>1</v>
      </c>
      <c r="AS21" t="s">
        <v>6</v>
      </c>
      <c r="AT21" s="2">
        <v>0.89583333333333337</v>
      </c>
      <c r="AU21" s="2">
        <f t="shared" si="20"/>
        <v>0.92500000000000004</v>
      </c>
      <c r="AV21" s="2">
        <f t="shared" si="6"/>
        <v>2.9166666666666674E-2</v>
      </c>
      <c r="AW21" s="2">
        <f t="shared" si="15"/>
        <v>5.5555555555555358E-3</v>
      </c>
      <c r="AY21" t="s">
        <v>6</v>
      </c>
      <c r="AZ21" t="s">
        <v>1</v>
      </c>
      <c r="BA21" s="2"/>
      <c r="BB21" s="2"/>
      <c r="BC21" s="2"/>
      <c r="BD21" s="2"/>
      <c r="BF21" t="s">
        <v>1</v>
      </c>
      <c r="BG21" t="s">
        <v>6</v>
      </c>
      <c r="BH21" s="2"/>
      <c r="BI21" s="2">
        <f t="shared" si="22"/>
        <v>2.9166666666666674E-2</v>
      </c>
      <c r="BJ21" s="2">
        <f t="shared" si="8"/>
        <v>2.9166666666666674E-2</v>
      </c>
      <c r="BK21" s="2">
        <f t="shared" si="17"/>
        <v>-2.9166666666666674E-2</v>
      </c>
    </row>
    <row r="22" spans="1:63" x14ac:dyDescent="0.3">
      <c r="B22" t="s">
        <v>6</v>
      </c>
      <c r="C22" t="s">
        <v>1</v>
      </c>
      <c r="D22" s="2">
        <v>0.90277777777777779</v>
      </c>
      <c r="E22" s="2">
        <v>0.93194444444444446</v>
      </c>
      <c r="F22" s="2">
        <f t="shared" si="0"/>
        <v>2.9166666666666674E-2</v>
      </c>
      <c r="G22" s="2">
        <f t="shared" si="23"/>
        <v>5.5555555555555358E-3</v>
      </c>
      <c r="I22" t="s">
        <v>1</v>
      </c>
      <c r="J22" t="s">
        <v>6</v>
      </c>
      <c r="K22" s="2">
        <v>0.90972222222222221</v>
      </c>
      <c r="L22" s="2">
        <v>0.93888888888888888</v>
      </c>
      <c r="M22" s="2">
        <f t="shared" si="1"/>
        <v>2.9166666666666674E-2</v>
      </c>
      <c r="N22" s="2">
        <f t="shared" si="10"/>
        <v>1.2499999999999956E-2</v>
      </c>
      <c r="P22" t="s">
        <v>6</v>
      </c>
      <c r="Q22" t="s">
        <v>1</v>
      </c>
      <c r="R22" s="2">
        <v>0.90972222222222221</v>
      </c>
      <c r="S22" s="2">
        <v>0.93888888888888888</v>
      </c>
      <c r="T22" s="2">
        <f t="shared" si="2"/>
        <v>2.9166666666666674E-2</v>
      </c>
      <c r="U22" s="2">
        <f t="shared" si="11"/>
        <v>5.5555555555555358E-3</v>
      </c>
      <c r="W22" t="s">
        <v>1</v>
      </c>
      <c r="X22" t="s">
        <v>6</v>
      </c>
      <c r="Y22" s="2">
        <v>0.91666666666666663</v>
      </c>
      <c r="Z22" s="2">
        <v>0.9458333333333333</v>
      </c>
      <c r="AA22" s="2">
        <f t="shared" si="3"/>
        <v>2.9166666666666674E-2</v>
      </c>
      <c r="AB22" s="2">
        <f t="shared" si="12"/>
        <v>5.5555555555555358E-3</v>
      </c>
      <c r="AD22" t="s">
        <v>6</v>
      </c>
      <c r="AE22" t="s">
        <v>1</v>
      </c>
      <c r="AF22" s="2">
        <v>0.92361111111111116</v>
      </c>
      <c r="AG22" s="2">
        <f t="shared" si="18"/>
        <v>0.95277777777777783</v>
      </c>
      <c r="AH22" s="2">
        <f t="shared" si="4"/>
        <v>2.9166666666666674E-2</v>
      </c>
      <c r="AI22" s="2">
        <f t="shared" si="13"/>
        <v>5.5555555555556468E-3</v>
      </c>
      <c r="AK22" t="s">
        <v>1</v>
      </c>
      <c r="AL22" t="s">
        <v>6</v>
      </c>
      <c r="AM22" s="2">
        <v>0.93055555555555558</v>
      </c>
      <c r="AN22" s="2">
        <f t="shared" si="19"/>
        <v>0.95972222222222225</v>
      </c>
      <c r="AO22" s="2">
        <f t="shared" si="5"/>
        <v>2.9166666666666674E-2</v>
      </c>
      <c r="AP22" s="2">
        <f t="shared" si="14"/>
        <v>1.2500000000000067E-2</v>
      </c>
      <c r="AR22" t="s">
        <v>6</v>
      </c>
      <c r="AS22" t="s">
        <v>1</v>
      </c>
      <c r="AT22" s="2">
        <v>0.93055555555555558</v>
      </c>
      <c r="AU22" s="2">
        <f t="shared" si="20"/>
        <v>0.95972222222222225</v>
      </c>
      <c r="AV22" s="2">
        <f t="shared" si="6"/>
        <v>2.9166666666666674E-2</v>
      </c>
      <c r="AW22" s="2">
        <f t="shared" si="15"/>
        <v>5.5555555555555358E-3</v>
      </c>
      <c r="AY22" t="s">
        <v>1</v>
      </c>
      <c r="AZ22" t="s">
        <v>6</v>
      </c>
      <c r="BA22" s="2"/>
      <c r="BB22" s="2"/>
      <c r="BC22" s="2"/>
      <c r="BD22" s="2"/>
      <c r="BF22" t="s">
        <v>6</v>
      </c>
      <c r="BG22" t="s">
        <v>1</v>
      </c>
      <c r="BH22" s="2"/>
      <c r="BI22" s="2">
        <f t="shared" si="22"/>
        <v>2.9166666666666674E-2</v>
      </c>
      <c r="BJ22" s="2">
        <f t="shared" si="8"/>
        <v>2.9166666666666674E-2</v>
      </c>
      <c r="BK22" s="2">
        <f t="shared" si="17"/>
        <v>-2.9166666666666674E-2</v>
      </c>
    </row>
    <row r="23" spans="1:63" x14ac:dyDescent="0.3">
      <c r="B23" t="s">
        <v>1</v>
      </c>
      <c r="C23" t="s">
        <v>6</v>
      </c>
      <c r="D23" s="2">
        <v>0.9375</v>
      </c>
      <c r="E23" s="2">
        <v>0.96666666666666667</v>
      </c>
      <c r="F23" s="2">
        <f t="shared" si="0"/>
        <v>2.9166666666666674E-2</v>
      </c>
      <c r="G23" s="2">
        <f t="shared" si="23"/>
        <v>5.5555555555555358E-3</v>
      </c>
      <c r="I23" t="s">
        <v>6</v>
      </c>
      <c r="J23" t="s">
        <v>1</v>
      </c>
      <c r="K23" s="2">
        <v>0.94444444444444442</v>
      </c>
      <c r="L23" s="2">
        <v>0.97361111111111109</v>
      </c>
      <c r="M23" s="2">
        <f t="shared" si="1"/>
        <v>2.9166666666666674E-2</v>
      </c>
      <c r="N23" s="2">
        <f t="shared" si="10"/>
        <v>5.5555555555555358E-3</v>
      </c>
      <c r="P23" t="s">
        <v>1</v>
      </c>
      <c r="Q23" t="s">
        <v>6</v>
      </c>
      <c r="R23" s="2">
        <v>0.95138888888888884</v>
      </c>
      <c r="S23" s="2">
        <v>0.98055555555555551</v>
      </c>
      <c r="T23" s="2">
        <f t="shared" si="2"/>
        <v>2.9166666666666674E-2</v>
      </c>
      <c r="U23" s="2">
        <f t="shared" si="11"/>
        <v>1.2499999999999956E-2</v>
      </c>
      <c r="W23" t="s">
        <v>6</v>
      </c>
      <c r="X23" t="s">
        <v>1</v>
      </c>
      <c r="Y23" s="2">
        <v>0.95138888888888884</v>
      </c>
      <c r="Z23" s="2">
        <v>0.98055555555555551</v>
      </c>
      <c r="AA23" s="2">
        <f t="shared" si="3"/>
        <v>2.9166666666666674E-2</v>
      </c>
      <c r="AB23" s="2">
        <f t="shared" si="12"/>
        <v>5.5555555555555358E-3</v>
      </c>
      <c r="AD23" t="s">
        <v>1</v>
      </c>
      <c r="AE23" t="s">
        <v>6</v>
      </c>
      <c r="AF23" s="2">
        <v>0.95833333333333337</v>
      </c>
      <c r="AG23" s="2">
        <f t="shared" si="18"/>
        <v>0.98750000000000004</v>
      </c>
      <c r="AH23" s="2">
        <f t="shared" si="4"/>
        <v>2.9166666666666674E-2</v>
      </c>
      <c r="AI23" s="2">
        <f t="shared" si="13"/>
        <v>5.5555555555555358E-3</v>
      </c>
      <c r="AK23" t="s">
        <v>6</v>
      </c>
      <c r="AL23" t="s">
        <v>1</v>
      </c>
      <c r="AM23" s="2">
        <v>0.96527777777777779</v>
      </c>
      <c r="AN23" s="2">
        <f t="shared" si="19"/>
        <v>0.99444444444444446</v>
      </c>
      <c r="AO23" s="2">
        <f t="shared" si="5"/>
        <v>2.9166666666666674E-2</v>
      </c>
      <c r="AP23" s="2">
        <f t="shared" si="14"/>
        <v>5.5555555555555358E-3</v>
      </c>
      <c r="AR23" t="s">
        <v>1</v>
      </c>
      <c r="AS23" t="s">
        <v>6</v>
      </c>
      <c r="AT23" s="2">
        <v>0.97222222222222221</v>
      </c>
      <c r="AU23" s="2">
        <f t="shared" si="20"/>
        <v>1.0013888888888889</v>
      </c>
      <c r="AV23" s="2">
        <f t="shared" si="6"/>
        <v>2.9166666666666674E-2</v>
      </c>
      <c r="AW23" s="2">
        <f t="shared" si="15"/>
        <v>1.2499999999999956E-2</v>
      </c>
      <c r="AY23" t="s">
        <v>6</v>
      </c>
      <c r="AZ23" t="s">
        <v>1</v>
      </c>
      <c r="BA23" s="2"/>
      <c r="BB23" s="2"/>
      <c r="BC23" s="2"/>
      <c r="BD23" s="2"/>
      <c r="BF23" t="s">
        <v>1</v>
      </c>
      <c r="BG23" t="s">
        <v>6</v>
      </c>
      <c r="BH23" s="2"/>
      <c r="BI23" s="2">
        <f t="shared" si="22"/>
        <v>2.9166666666666674E-2</v>
      </c>
      <c r="BJ23" s="2">
        <f t="shared" si="8"/>
        <v>2.9166666666666674E-2</v>
      </c>
      <c r="BK23" s="2">
        <f t="shared" si="17"/>
        <v>-2.9166666666666674E-2</v>
      </c>
    </row>
    <row r="24" spans="1:63" x14ac:dyDescent="0.3">
      <c r="B24" t="s">
        <v>6</v>
      </c>
      <c r="C24" t="s">
        <v>1</v>
      </c>
      <c r="D24" s="2">
        <v>0.97222222222222221</v>
      </c>
      <c r="E24" s="2">
        <v>1.3888888888888889E-3</v>
      </c>
      <c r="F24" s="2" t="str">
        <f>IF(E24&lt;D24,"",E24-D24)</f>
        <v/>
      </c>
      <c r="G24" s="2">
        <f t="shared" si="23"/>
        <v>5.5555555555555358E-3</v>
      </c>
      <c r="I24" t="s">
        <v>1</v>
      </c>
      <c r="J24" t="s">
        <v>6</v>
      </c>
      <c r="K24" s="2">
        <v>0.97916666666666663</v>
      </c>
      <c r="L24" s="2">
        <v>8.3333333333333332E-3</v>
      </c>
      <c r="M24" s="2" t="str">
        <f>IF(L24&lt;K24,"",L24-K24)</f>
        <v/>
      </c>
      <c r="N24" s="2">
        <f t="shared" si="10"/>
        <v>5.5555555555555358E-3</v>
      </c>
      <c r="P24" t="s">
        <v>6</v>
      </c>
      <c r="Q24" t="s">
        <v>1</v>
      </c>
      <c r="R24" s="2">
        <v>0.98611111111111116</v>
      </c>
      <c r="S24" s="2">
        <v>1.5277777777777777E-2</v>
      </c>
      <c r="T24" s="2" t="str">
        <f>IF(S24&lt;R24,"",S24-R24)</f>
        <v/>
      </c>
      <c r="U24" s="2">
        <f t="shared" si="11"/>
        <v>5.5555555555556468E-3</v>
      </c>
      <c r="W24" t="s">
        <v>1</v>
      </c>
      <c r="X24" t="s">
        <v>6</v>
      </c>
      <c r="Y24" s="2">
        <v>0.99305555555555558</v>
      </c>
      <c r="Z24" s="2">
        <v>2.2222222222222223E-2</v>
      </c>
      <c r="AA24" s="2" t="str">
        <f>IF(Z24&lt;Y24,"",Z24-Y24)</f>
        <v/>
      </c>
      <c r="AB24" s="2">
        <f t="shared" si="12"/>
        <v>1.2500000000000067E-2</v>
      </c>
      <c r="AD24" t="s">
        <v>6</v>
      </c>
      <c r="AE24" t="s">
        <v>1</v>
      </c>
      <c r="AF24" s="2">
        <v>0.99305555555555558</v>
      </c>
      <c r="AG24" s="2">
        <f t="shared" si="18"/>
        <v>1.0222222222222224</v>
      </c>
      <c r="AH24" s="2">
        <f t="shared" si="4"/>
        <v>2.9166666666666785E-2</v>
      </c>
      <c r="AI24" s="2">
        <f t="shared" si="13"/>
        <v>5.5555555555555358E-3</v>
      </c>
      <c r="AK24" t="s">
        <v>1</v>
      </c>
      <c r="AL24" t="s">
        <v>6</v>
      </c>
      <c r="AM24" s="2"/>
      <c r="AN24" s="2"/>
      <c r="AO24" s="2"/>
      <c r="AP24" s="2"/>
      <c r="AR24" t="s">
        <v>6</v>
      </c>
      <c r="AS24" t="s">
        <v>1</v>
      </c>
      <c r="AT24" s="2"/>
      <c r="AU24" s="2"/>
      <c r="AV24" s="2"/>
      <c r="AW24" s="2"/>
      <c r="AY24" t="s">
        <v>1</v>
      </c>
      <c r="AZ24" t="s">
        <v>6</v>
      </c>
      <c r="BA24" s="2"/>
      <c r="BB24" s="2"/>
      <c r="BC24" s="2"/>
      <c r="BD24" s="2"/>
      <c r="BF24" t="s">
        <v>6</v>
      </c>
      <c r="BG24" t="s">
        <v>1</v>
      </c>
      <c r="BH24" s="2"/>
      <c r="BI24" s="2"/>
      <c r="BJ24" s="2"/>
      <c r="BK24" s="2"/>
    </row>
    <row r="27" spans="1:63" x14ac:dyDescent="0.3">
      <c r="A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Geenen</dc:creator>
  <cp:lastModifiedBy>Jeroen Martens</cp:lastModifiedBy>
  <dcterms:created xsi:type="dcterms:W3CDTF">2026-01-29T10:12:07Z</dcterms:created>
  <dcterms:modified xsi:type="dcterms:W3CDTF">2026-02-02T22:24:00Z</dcterms:modified>
</cp:coreProperties>
</file>