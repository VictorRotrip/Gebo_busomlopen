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nsdigitaal-my.sharepoint.com/personal/jochem_tipker_nslogin_nl/Documents/01 Inkoop - Procurement/02 aanbestedingen/EA TVV/RFP/Publicatie Mercell Leidraad en bijlagen/"/>
    </mc:Choice>
  </mc:AlternateContent>
  <xr:revisionPtr revIDLastSave="0" documentId="8_{815EC5AC-0F6F-43C6-BD9E-597A828D4076}" xr6:coauthVersionLast="47" xr6:coauthVersionMax="47" xr10:uidLastSave="{00000000-0000-0000-0000-000000000000}"/>
  <bookViews>
    <workbookView xWindow="57480" yWindow="-120" windowWidth="29040" windowHeight="15720" xr2:uid="{82F0B5F0-7C68-4353-B2D8-C025FB1C9A51}"/>
  </bookViews>
  <sheets>
    <sheet name="Invulinstructie" sheetId="2" r:id="rId1"/>
    <sheet name="Invulblad prijselementen" sheetId="6" r:id="rId2"/>
    <sheet name="IT Rollen " sheetId="16" r:id="rId3"/>
    <sheet name="IT Rollen Definities" sheetId="1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6" l="1"/>
  <c r="F19" i="16"/>
  <c r="H19" i="16" s="1"/>
  <c r="F18" i="16"/>
  <c r="H18" i="16" s="1"/>
  <c r="F17" i="16"/>
  <c r="H17" i="16" s="1"/>
  <c r="F16" i="16"/>
  <c r="H16" i="16" s="1"/>
  <c r="H15" i="16"/>
  <c r="F15" i="16"/>
  <c r="F14" i="16"/>
  <c r="H14" i="16" s="1"/>
  <c r="F13" i="16"/>
  <c r="H13" i="16" s="1"/>
  <c r="H12" i="16"/>
  <c r="F12" i="16"/>
  <c r="F11" i="16"/>
  <c r="H11" i="16" s="1"/>
  <c r="F10" i="16"/>
  <c r="H10" i="16" s="1"/>
  <c r="H9" i="16"/>
  <c r="F9" i="16"/>
  <c r="F8" i="16"/>
  <c r="H8" i="16" s="1"/>
  <c r="H7" i="16"/>
  <c r="H6" i="16"/>
  <c r="H5" i="16"/>
  <c r="H4" i="16"/>
  <c r="H22" i="16" l="1"/>
  <c r="G35" i="6" s="1"/>
  <c r="F31" i="6" l="1"/>
  <c r="F30" i="6"/>
  <c r="F29" i="6"/>
  <c r="G30" i="6"/>
  <c r="G29" i="6"/>
  <c r="G28" i="6"/>
  <c r="G23" i="6"/>
  <c r="G14" i="6"/>
  <c r="G12" i="6"/>
  <c r="G5" i="6"/>
  <c r="G6" i="6"/>
  <c r="G7" i="6"/>
  <c r="G8" i="6"/>
  <c r="G4" i="6"/>
  <c r="F26" i="6"/>
  <c r="F25" i="6"/>
  <c r="G25" i="6" s="1"/>
  <c r="F24" i="6"/>
  <c r="G24" i="6" s="1"/>
  <c r="G21" i="6" l="1"/>
  <c r="G10" i="6"/>
  <c r="G33" i="6"/>
  <c r="G38" i="6" l="1"/>
  <c r="F15" i="6"/>
  <c r="F13" i="6"/>
  <c r="F18" i="6"/>
  <c r="F19" i="6" s="1"/>
  <c r="F16" i="6"/>
  <c r="F17" i="6" s="1"/>
</calcChain>
</file>

<file path=xl/sharedStrings.xml><?xml version="1.0" encoding="utf-8"?>
<sst xmlns="http://schemas.openxmlformats.org/spreadsheetml/2006/main" count="196" uniqueCount="152">
  <si>
    <t>Algemene instructies</t>
  </si>
  <si>
    <r>
      <t xml:space="preserve">U wordt uitgesloten van verdere deelname aan de aanbestedingsprocedure indien u wijzigingen aanbrengt in </t>
    </r>
    <r>
      <rPr>
        <u/>
        <sz val="9.5"/>
        <color rgb="FF000000"/>
        <rFont val="NS Sans"/>
      </rPr>
      <t>Standaardformulier – Prijzenblad</t>
    </r>
    <r>
      <rPr>
        <sz val="9.5"/>
        <color rgb="FF000000"/>
        <rFont val="NS Sans"/>
      </rPr>
      <t xml:space="preserve">  zoals het toevoegen van ‘rijen’, ‘kolommen’ en/of tabbladen, teksten aanpast (overschrijft) en/of zich niet houdt aan de invulinstructie (alleen aangegeven velden mogen worden ingevuld).</t>
    </r>
  </si>
  <si>
    <t>Alle groene cellen dienen te worden ingevuld in alle tabbladen. Het niet invullen van groene velden kan leiden tot uitsluiting.</t>
  </si>
  <si>
    <t>Alle prijzen zijn in Euro valuta exclusief BTW</t>
  </si>
  <si>
    <t>Tarieven mogen worden ingediend met 2 decimalen achter de komma.</t>
  </si>
  <si>
    <t>Alle prijzen en/of tarieven dienen inclusief alle andere bijkomende kosten ('All-in'). ('All-in') betekent dat alle heffingen, personeelskosten, kantoorkosten, overhead marges en alle andere voorkomende kosten in de prijzen zijn inbegrepen</t>
  </si>
  <si>
    <t>Negatieve prijzen en/of nul-prijzen zijn niet toegestaan en kunnen leiden tot uitsluiting</t>
  </si>
  <si>
    <t>1. Tarieven uitvoering dienstverlening</t>
  </si>
  <si>
    <t>De annuleringsvergoedingen zijn gelijk aan de ingediende starttarieven. Deze cellen worden automatisch gevuld op basis van  de waarde in de cellen van de Startvergoedingen</t>
  </si>
  <si>
    <t>Overige tarieven</t>
  </si>
  <si>
    <t>U dient de uurtarieven voor de categorie 'Buscoördinator - Dag' in te vullen voor buscoördinatoren. De overige tariefsoorten worden automatisch vermenigvuldigd met respectievelijk 120%, 135% of 200%.</t>
  </si>
  <si>
    <t>U dient de uurtarieven voor de categorie 'Verkeersregelaar - Dag' in te vullen voor verkeersregelaars. De overige tariefsoorten worden automatisch vermenigvuldigd met respectievelijk 120%, 135% of 200%.</t>
  </si>
  <si>
    <t xml:space="preserve">2. Tarieven IT </t>
  </si>
  <si>
    <t>Wanneer NS implementatiewerkzaamheden dan wel IT ontwikkelingswerkzaamheden aanvraagt, zullen deze rollen en hun uurtarieven worden gebruikt als basis voor het statement of work proces zoals beschreven in hoofdstuk 5.4 van bijlage D - Concept overeenkomst. De toekomstige opdrachtnemer mag alleen aanvullend werk of wijzigingen aanbieden op verzoek van NS en mag alleen de onderstaande rollen en uurtarieven offreren.</t>
  </si>
  <si>
    <t>Prijzenblad TVV</t>
  </si>
  <si>
    <t>Tariefeenheid</t>
  </si>
  <si>
    <t>Aantallen</t>
  </si>
  <si>
    <t>Groene cellen In te vullen door Inschrijver</t>
  </si>
  <si>
    <t>Inzet touringcar</t>
  </si>
  <si>
    <t>Euro per uur (incl. kilometers en chauffeur(s) (Station-Station)</t>
  </si>
  <si>
    <t>Inzet lagevloerbus en/of gelede bus</t>
  </si>
  <si>
    <t>Inzet midi bus</t>
  </si>
  <si>
    <t>Inzet taxibus</t>
  </si>
  <si>
    <t>subtotaal</t>
  </si>
  <si>
    <t>Tarieven ongepland</t>
  </si>
  <si>
    <t>Startvergoeding bus binnen responsetijd</t>
  </si>
  <si>
    <t>Euro per bus binnen responsetijd</t>
  </si>
  <si>
    <t>Startvergoeding bus buiten responsetijd</t>
  </si>
  <si>
    <t>50% van de vergoeding binnen responsetijd</t>
  </si>
  <si>
    <t>Startvergoeding taxibus binnen responsetijd</t>
  </si>
  <si>
    <t>Euro per taxibus binnen responsetijd</t>
  </si>
  <si>
    <t>Startvergoeding taxibus buiten responsetijd</t>
  </si>
  <si>
    <t>Annuleringsvergoeding ongepland bus</t>
  </si>
  <si>
    <t>100% vergoeding per bus &gt;30 minuten (tijdstip opdracht - tijdstip annuleren)</t>
  </si>
  <si>
    <t>50% vergoeding per bus &lt;30 minuten (tijdstip opdracht - tijdstip annuleren)</t>
  </si>
  <si>
    <t>Annuleringsvergoeding ongepland Taxibus</t>
  </si>
  <si>
    <t>100% vergoeding per taxibus &gt;30 minuten (tijdstip opdracht - tijdstip annuleren)</t>
  </si>
  <si>
    <t>50% vergoeding per taxibus &lt;30 minuten (tijdstip opdracht - tijdstip annuleren)</t>
  </si>
  <si>
    <t>Overige tarieven - categorie</t>
  </si>
  <si>
    <t>Buscoördinator - Dag</t>
  </si>
  <si>
    <t>Euro per uur (maandag t/m vrijdag 07:00 h - 19:00h)</t>
  </si>
  <si>
    <t>Buscoördinator - Avond / nacht</t>
  </si>
  <si>
    <t>Euro per uur (maandag t/m vrijdag 19:00h - 07:00h)</t>
  </si>
  <si>
    <t>Buscoördinator - Weekend</t>
  </si>
  <si>
    <t>Euro per uur (vrijdag 19:00h - maandag 07:00h)</t>
  </si>
  <si>
    <t>Buscoördinator - Feestdagen</t>
  </si>
  <si>
    <t>Euro per uur (00:00h - 23.59h)</t>
  </si>
  <si>
    <t>Verkeersregelaar - Dag</t>
  </si>
  <si>
    <t>Verkeersregelaar - Avond / nacht</t>
  </si>
  <si>
    <t>Verkeersregelaar - Weekend</t>
  </si>
  <si>
    <t>Verkeersregelaar - Feestdagen</t>
  </si>
  <si>
    <t>Totaaltelling tabblad 'IT rollen'</t>
  </si>
  <si>
    <t>Totale inschrijfprijs</t>
  </si>
  <si>
    <t>(optelling alle subtotalen + Tarieven IT)</t>
  </si>
  <si>
    <t>Uurtarief (IN €)</t>
  </si>
  <si>
    <t>Maximum tarief (IN €)</t>
  </si>
  <si>
    <t xml:space="preserve">Gewicht </t>
  </si>
  <si>
    <t>Totale prijs (IN €)</t>
  </si>
  <si>
    <t>Projectmanager IT</t>
  </si>
  <si>
    <t>Scrummaster</t>
  </si>
  <si>
    <t>Product owner</t>
  </si>
  <si>
    <t>Solution Architect</t>
  </si>
  <si>
    <t>Platform engineer</t>
  </si>
  <si>
    <t>Totale prijs IT</t>
  </si>
  <si>
    <t>Inzet dubbeldekker</t>
  </si>
  <si>
    <t>Tarieven inzet voertuigen - categoriën</t>
  </si>
  <si>
    <t>Voertuig categorie 'lagevloerbus en/of gelede bus' mag niet hoger of gelijk zijn aan de prijs voor voertuigcategorie 'touringcar'</t>
  </si>
  <si>
    <t>Voertuig categorie 'midi bus' mag niet hoger of gelijk zijn aan de prijs voor voertuigcategorie 'lagevloerbus en/of gelede bus'</t>
  </si>
  <si>
    <t>Voertuig categorie 'touringcar' mag niet hoger of gelijk zijn aan de prijs voor voertuigcategorie 'dubbeldekker'</t>
  </si>
  <si>
    <t>Voertuig categorie 'taxibus' mag niet hoger of gelijk zijn aan de prijs voor voertuigcategorie 'midi bus'</t>
  </si>
  <si>
    <t>De 'startvergoeding taxibus binnen responsetijd' mag niet hoger zijn dan de 'startvergoeding bus binnen responsetijd'</t>
  </si>
  <si>
    <t>Senioriteit</t>
  </si>
  <si>
    <t>Senior</t>
  </si>
  <si>
    <t>Junior</t>
  </si>
  <si>
    <t>Medior</t>
  </si>
  <si>
    <t>Software Developer</t>
  </si>
  <si>
    <t>Tester</t>
  </si>
  <si>
    <t>Testautomatiseerder</t>
  </si>
  <si>
    <r>
      <t xml:space="preserve">Prijselement 2 IT 
</t>
    </r>
    <r>
      <rPr>
        <sz val="9.5"/>
        <rFont val="NS Sans"/>
      </rPr>
      <t>De in dit overzicht genoemde functies (hierna: rollen) worden inhoudelijk gedefinieerd overeenkomstig de European ICT Professional Role Profiles (CWA 16458-1:2018) en de daaraan gekoppelde competenties volgens EN 16234-1:2019 (e-CF). Het functie- en ervaringsniveau (junior, medior, senior) is beschreven in Werkblad "IT Rollen Definities" en is gebaseerd op de niveaus van verantwoordelijkheid uit de SFIA-standaard.</t>
    </r>
    <r>
      <rPr>
        <b/>
        <sz val="9.5"/>
        <rFont val="NS Sans"/>
      </rPr>
      <t xml:space="preserve">
</t>
    </r>
  </si>
  <si>
    <t>Rol/functiebenaming</t>
  </si>
  <si>
    <t>Cybersecurity specialist</t>
  </si>
  <si>
    <r>
      <t xml:space="preserve">IT Rollen Definities
</t>
    </r>
    <r>
      <rPr>
        <sz val="12"/>
        <color rgb="FF3F3F3F"/>
        <rFont val="Aptos Narrow"/>
        <family val="2"/>
        <scheme val="minor"/>
      </rPr>
      <t>De hieronder opgenomen rollen zijn gebaseerd op de “European ICT Professional Role Profiles” zoals beschreven in CWA 16458-1:2018 – Part 1: 30 ICT profiles. De officiële profielnamen (bijvoorbeeld Project Manager, Developer, etc.) zijn in kolom C opgenomen. De korte Nederlandstalige definities zijn afgeleid van de samenvattende profielbeschrijvingen in deze CWA. De relevante competenties en niveaus worden bepaald conform EN 16234-1:2019 e-Competence Framework (e-CF).
Het functie- en ervaringsniveau junior / medior / senior wordt generiek geïnterpreteerd aan de hand van de SFIA-niveaus van verantwoordelijkheid (1–7) en de primaire SFIA-skills die bij de betreffende rol horen (bijvoorbeeld PRMG voor projectmanagement, ARCH voor solution architecture, PROG voor software development, TEST voor testen, BUSA/REQM voor business- en requirementsanalyse). In het algemeen geldt:
– junior: overwegend SFIA level 2–3 voor de kernskills;
– medior: overwegend SFIA level 3–4;
– senior: overwegend SFIA level 4–6, inclusief verantwoordelijkheid voor aansturing, architectuur, strategie of organisatiebrede impact.</t>
    </r>
  </si>
  <si>
    <t>Nr</t>
  </si>
  <si>
    <t>Rol conform CEN CWA 16458-1:2018</t>
  </si>
  <si>
    <t>Rol definitie (gebaseerd op CWA-profiel)</t>
  </si>
  <si>
    <t>Korte definitie (gebaseerd op CWA-profiel)</t>
  </si>
  <si>
    <t>Junior (functie-/ervaringsniveau)</t>
  </si>
  <si>
    <t>Medior (functie-/ervaringsniveau)</t>
  </si>
  <si>
    <t>Senior (functie-/ervaringsniveau)</t>
  </si>
  <si>
    <t>Project manager</t>
  </si>
  <si>
    <t>Definieert, implementeert en stuurt ICT-projecten van initiatief tot oplevering; verantwoordelijk voor scope, planning, budget, kwaliteit, risico’s en inzet van (agile) werkvormen.</t>
  </si>
  <si>
    <t>Definieert, implementeert en stuurt ICT-projecten van initiatief tot oplevering, inclusief scope, planning, budget, kwaliteit en risico’s, met inzet van passende (ook agile) methoden.</t>
  </si>
  <si>
    <r>
      <t xml:space="preserve">Stuurt kleinschalige projecten of deelprojecten aan binnen vastgestelde governance en rapportagelijnen; actualiseert planning, risico- en issueregister en stemt voortgang af met een senior projectmanager. SFIA-niveaus voor PRMG: </t>
    </r>
    <r>
      <rPr>
        <b/>
        <sz val="11"/>
        <color theme="1"/>
        <rFont val="Aptos Narrow"/>
        <family val="2"/>
        <scheme val="minor"/>
      </rPr>
      <t>4</t>
    </r>
    <r>
      <rPr>
        <sz val="11"/>
        <color theme="1"/>
        <rFont val="Aptos Narrow"/>
        <family val="2"/>
        <scheme val="minor"/>
      </rPr>
      <t>.</t>
    </r>
  </si>
  <si>
    <r>
      <t xml:space="preserve">Stuurt zelfstandig projecten met multidisciplinaire teams aan; stelt projectplan op, bewaakt scope, tijd en geld, stuurt leveranciers en teamleden aan en rapporteert direct aan opdrachtgever of stuurgroep. SFIA-niveaus voor PRMG: </t>
    </r>
    <r>
      <rPr>
        <b/>
        <sz val="11"/>
        <color theme="1"/>
        <rFont val="Aptos Narrow"/>
        <family val="2"/>
        <scheme val="minor"/>
      </rPr>
      <t>5</t>
    </r>
    <r>
      <rPr>
        <sz val="11"/>
        <color theme="1"/>
        <rFont val="Aptos Narrow"/>
        <family val="2"/>
        <scheme val="minor"/>
      </rPr>
      <t>.</t>
    </r>
  </si>
  <si>
    <r>
      <t xml:space="preserve">Stuurt complexe projecten, programma’s of een portfolio; definieert project-/programmamanagementaanpak en governance, beïnvloedt organisatiebrede besluitvorming en stuurt meerdere projectmanagers en leveranciers aan. SFIA-niveaus voor PRMG: </t>
    </r>
    <r>
      <rPr>
        <b/>
        <sz val="11"/>
        <color theme="1"/>
        <rFont val="Aptos Narrow"/>
        <family val="2"/>
        <scheme val="minor"/>
      </rPr>
      <t>6–7</t>
    </r>
    <r>
      <rPr>
        <sz val="11"/>
        <color theme="1"/>
        <rFont val="Aptos Narrow"/>
        <family val="2"/>
        <scheme val="minor"/>
      </rPr>
      <t>.</t>
    </r>
  </si>
  <si>
    <t>Scrum master</t>
  </si>
  <si>
    <t>Leidt en coacht één of meer agile teams; minimaliseert impediments, faciliteert scrum-events en stimuleert een zelforganiserend, hoogpresterend team.</t>
  </si>
  <si>
    <t>Coacht één of meer agile teams; faciliteert Scrum-events, verwijdert impediments en bevordert een cultuur van zelforganisatie en continue verbetering.</t>
  </si>
  <si>
    <r>
      <t xml:space="preserve">Faciliteert dagelijkse stand-ups en standaard Scrum-events, onderhoudt het teamboard, bewaakt basisafspraken en signaleert impediments binnen één team onder begeleiding van een ervaren scrummaster. SFIA-niveaus voor BUSA/REQM: </t>
    </r>
    <r>
      <rPr>
        <b/>
        <sz val="11"/>
        <color theme="1"/>
        <rFont val="Aptos Narrow"/>
        <family val="2"/>
        <scheme val="minor"/>
      </rPr>
      <t>2–3</t>
    </r>
    <r>
      <rPr>
        <sz val="11"/>
        <color theme="1"/>
        <rFont val="Aptos Narrow"/>
        <family val="2"/>
        <scheme val="minor"/>
      </rPr>
      <t>.</t>
    </r>
  </si>
  <si>
    <r>
      <t xml:space="preserve">Coacht een of meerdere teams in de toepassing van Scrum, faciliteert alle events, verbetert teamprocessen, stuurt op voorspelbare levering en stemt af met Product Owner en stakeholders. SFIA-niveau voor RLMT: </t>
    </r>
    <r>
      <rPr>
        <b/>
        <sz val="11"/>
        <color theme="1"/>
        <rFont val="Aptos Narrow"/>
        <family val="2"/>
        <scheme val="minor"/>
      </rPr>
      <t>4</t>
    </r>
    <r>
      <rPr>
        <sz val="11"/>
        <color theme="1"/>
        <rFont val="Aptos Narrow"/>
        <family val="2"/>
        <scheme val="minor"/>
      </rPr>
      <t>.</t>
    </r>
  </si>
  <si>
    <r>
      <t xml:space="preserve">Coacht meerdere teams en Scrum Masters, ontwikkelt en implementeert organisatiebrede agile-werkwijzen, initieert verbeterprogramma’s rond flow en samenwerking en adviseert management over agile transformatie. SFIA-niveaus voor RLMT/ORDI: </t>
    </r>
    <r>
      <rPr>
        <b/>
        <sz val="11"/>
        <color theme="1"/>
        <rFont val="Aptos Narrow"/>
        <family val="2"/>
        <scheme val="minor"/>
      </rPr>
      <t>5–6</t>
    </r>
    <r>
      <rPr>
        <sz val="11"/>
        <color theme="1"/>
        <rFont val="Aptos Narrow"/>
        <family val="2"/>
        <scheme val="minor"/>
      </rPr>
      <t>.</t>
    </r>
  </si>
  <si>
    <t>Vertegenwoordigt stakeholders en klant richting agile team, beheert en prioriteert de backlog en borgt dat de gerealiseerde oplossing maximaal bijdraagt aan businesswaarde.</t>
  </si>
  <si>
    <t>Vertegenwoordigt klant en stakeholders richting het team, beheert en prioriteert de backlog en stuurt op maximale businesswaarde van het product over de gehele levenscyclus.</t>
  </si>
  <si>
    <r>
      <t xml:space="preserve">Beheert een deel van de backlog; schrijft user stories en basis-acceptatiecriteria binnen gestelde kaders en stemt prioritering af met een ervaren Product Owner of businessvertegenwoordiger. SFIA-niveaus voor PROD/REQM: </t>
    </r>
    <r>
      <rPr>
        <b/>
        <sz val="11"/>
        <color theme="1"/>
        <rFont val="Aptos Narrow"/>
        <family val="2"/>
        <scheme val="minor"/>
      </rPr>
      <t>2–3</t>
    </r>
    <r>
      <rPr>
        <sz val="11"/>
        <color theme="1"/>
        <rFont val="Aptos Narrow"/>
        <family val="2"/>
        <scheme val="minor"/>
      </rPr>
      <t>.</t>
    </r>
  </si>
  <si>
    <r>
      <t xml:space="preserve">Beheert de volledige backlog voor één product of domein; prioriteert op basis van waarde, definieert acceptatiecriteria, accepteert opleveringen en bewaakt realisatie van de productroadmap. SFIA-niveau voor PROD/BUSA: </t>
    </r>
    <r>
      <rPr>
        <b/>
        <sz val="11"/>
        <color theme="1"/>
        <rFont val="Aptos Narrow"/>
        <family val="2"/>
        <scheme val="minor"/>
      </rPr>
      <t>4</t>
    </r>
    <r>
      <rPr>
        <sz val="11"/>
        <color theme="1"/>
        <rFont val="Aptos Narrow"/>
        <family val="2"/>
        <scheme val="minor"/>
      </rPr>
      <t>.</t>
    </r>
  </si>
  <si>
    <r>
      <t xml:space="preserve">Verantwoordelijk voor productvisie en roadmap over meerdere producten of ketens; beïnvloedt portfolio- en investeringsbeslissingen, stuurt andere Product Owners inhoudelijk aan en vertegenwoordigt het product op tactisch/strategisch niveau. SFIA-niveaus voor PROD/BUSA: </t>
    </r>
    <r>
      <rPr>
        <b/>
        <sz val="11"/>
        <color theme="1"/>
        <rFont val="Aptos Narrow"/>
        <family val="2"/>
        <scheme val="minor"/>
      </rPr>
      <t>5–6</t>
    </r>
    <r>
      <rPr>
        <sz val="11"/>
        <color theme="1"/>
        <rFont val="Aptos Narrow"/>
        <family val="2"/>
        <scheme val="minor"/>
      </rPr>
      <t>.</t>
    </r>
  </si>
  <si>
    <t>Solution architect</t>
  </si>
  <si>
    <r>
      <t xml:space="preserve">Systems architect </t>
    </r>
    <r>
      <rPr>
        <sz val="11"/>
        <color theme="1"/>
        <rFont val="Aptos Narrow"/>
        <family val="2"/>
        <scheme val="minor"/>
      </rPr>
      <t>+ Solution designer</t>
    </r>
  </si>
  <si>
    <t>Ontwerpt en integreert complexe ICT-oplossingen (applicaties, integraties, data, infrastructuur) die voldoen aan business- en kwaliteits­eisen; vertaalt business-requirements naar end-to-end oplossingen en begeleidt implementatie.</t>
  </si>
  <si>
    <t>Ontwerpt en integreert complexe ICT-oplossingen (applicaties, integraties, data, infrastructuur) op basis van business- en kwaliteits­eisen; vertaalt requirements naar solution-architectuur en begeleidt implementatie in lijn met enterprise-architectuur.</t>
  </si>
  <si>
    <r>
      <t xml:space="preserve">Draagt bij aan deelarchitecturen en detailontwerpen, maakt component- en interface-specificaties, voert impactanalyses uit en stemt technische keuzes af met een ervaren architect. SFIA-niveau voor ARCH: </t>
    </r>
    <r>
      <rPr>
        <b/>
        <sz val="11"/>
        <color theme="1"/>
        <rFont val="Aptos Narrow"/>
        <family val="2"/>
        <scheme val="minor"/>
      </rPr>
      <t>4</t>
    </r>
    <r>
      <rPr>
        <sz val="11"/>
        <color theme="1"/>
        <rFont val="Aptos Narrow"/>
        <family val="2"/>
        <scheme val="minor"/>
      </rPr>
      <t>.</t>
    </r>
  </si>
  <si>
    <r>
      <t xml:space="preserve">Verantwoordelijk voor end-to-end ontwerp van één oplossing of domein; neemt architectuurkeuzes binnen vastgestelde kaders, borgt alignment met enterprise-architectuur en begeleidt ontwikkelteams bij realisatie. SFIA-niveau voor ARCH: </t>
    </r>
    <r>
      <rPr>
        <b/>
        <sz val="11"/>
        <color theme="1"/>
        <rFont val="Aptos Narrow"/>
        <family val="2"/>
        <scheme val="minor"/>
      </rPr>
      <t>5</t>
    </r>
    <r>
      <rPr>
        <sz val="11"/>
        <color theme="1"/>
        <rFont val="Aptos Narrow"/>
        <family val="2"/>
        <scheme val="minor"/>
      </rPr>
      <t>.</t>
    </r>
  </si>
  <si>
    <r>
      <t xml:space="preserve">Bepaalt oplossings- en referentiearchitecturen over meerdere domeinen, ontwikkelt roadmaps, stuurt andere architecten aan en adviseert op strategisch niveau (bijvoorbeeld bij aanbestedingen en sourcingsbeslissingen). SFIA-niveau voor ARCH: </t>
    </r>
    <r>
      <rPr>
        <b/>
        <sz val="11"/>
        <color theme="1"/>
        <rFont val="Aptos Narrow"/>
        <family val="2"/>
        <scheme val="minor"/>
      </rPr>
      <t>6</t>
    </r>
    <r>
      <rPr>
        <sz val="11"/>
        <color theme="1"/>
        <rFont val="Aptos Narrow"/>
        <family val="2"/>
        <scheme val="minor"/>
      </rPr>
      <t>.</t>
    </r>
  </si>
  <si>
    <t>Platform engineer / DevOps engineer</t>
  </si>
  <si>
    <r>
      <t xml:space="preserve">Devops expert </t>
    </r>
    <r>
      <rPr>
        <sz val="11"/>
        <color theme="1"/>
        <rFont val="Aptos Narrow"/>
        <family val="2"/>
        <scheme val="minor"/>
      </rPr>
      <t>+ Systems administrator</t>
    </r>
  </si>
  <si>
    <t>Ontwerpt, bouwt en beheert het platform (infra, runtimes, CI/CD, monitoring) en automatiseert build- en deploy-ketens om stabiele, schaalbare en veilige levering van software mogelijk te maken.</t>
  </si>
  <si>
    <t>Ontwerpt, bouwt en beheert het platform (infrastructuur, runtimes, CI/CD, monitoring) en automatiseert build-, test- en deploy-ketens voor stabiele, schaalbare en veilige levering van software.</t>
  </si>
  <si>
    <r>
      <t xml:space="preserve">Beheert standaardplatformcomponenten, voert deploys en changes uit volgens runbooks en automatiseert eenvoudige taken via scripts; participeert in incident- en probleemafhandeling onder aansturing van een ervaren engineer. SFIA-niveaus voor PROG/SINT: </t>
    </r>
    <r>
      <rPr>
        <b/>
        <sz val="11"/>
        <color theme="1"/>
        <rFont val="Aptos Narrow"/>
        <family val="2"/>
        <scheme val="minor"/>
      </rPr>
      <t>2–3</t>
    </r>
    <r>
      <rPr>
        <sz val="11"/>
        <color theme="1"/>
        <rFont val="Aptos Narrow"/>
        <family val="2"/>
        <scheme val="minor"/>
      </rPr>
      <t>.</t>
    </r>
  </si>
  <si>
    <r>
      <t xml:space="preserve">Ontwerpt en beheert CI/CD-pijplijnen, container-omgevingen en monitoring; combineert development- en operationsvaardigheden om hoge automatiseringsgraad en betrouwbaarheid te realiseren voor één of enkele systemen/diensten. SFIA-niveau voor PROG/SINT: </t>
    </r>
    <r>
      <rPr>
        <b/>
        <sz val="11"/>
        <color theme="1"/>
        <rFont val="Aptos Narrow"/>
        <family val="2"/>
        <scheme val="minor"/>
      </rPr>
      <t>4</t>
    </r>
    <r>
      <rPr>
        <sz val="11"/>
        <color theme="1"/>
        <rFont val="Aptos Narrow"/>
        <family val="2"/>
        <scheme val="minor"/>
      </rPr>
      <t>.</t>
    </r>
  </si>
  <si>
    <r>
      <t xml:space="preserve">Ontwerpt platformarchitectuur en -strategie (cloud/on-prem), bepaalt tooling en standaarden, borgt security/compliance op platformniveau en stuurt andere engineers en leveranciers aan. SFIA-niveaus voor SLEN/SLMO: </t>
    </r>
    <r>
      <rPr>
        <b/>
        <sz val="11"/>
        <color theme="1"/>
        <rFont val="Aptos Narrow"/>
        <family val="2"/>
        <scheme val="minor"/>
      </rPr>
      <t>5–6</t>
    </r>
    <r>
      <rPr>
        <sz val="11"/>
        <color theme="1"/>
        <rFont val="Aptos Narrow"/>
        <family val="2"/>
        <scheme val="minor"/>
      </rPr>
      <t>.</t>
    </r>
  </si>
  <si>
    <t>Tester / Testautomatiseerder</t>
  </si>
  <si>
    <t>Test specialist</t>
  </si>
  <si>
    <t>Ontwerpt en voert testplannen uit om te verifiëren dat systemen en componenten voldoen aan functionele en niet-functionele eisen; richt, waar van toepassing, testautomatisering in en onderhoudt deze.</t>
  </si>
  <si>
    <t>Ontwerpt en voert testplannen uit om te verifiëren dat systemen en componenten voldoen aan functionele en niet-functionele eisen; richt waar nodig testautomatisering in en onderhoudt de gebruikte frameworks en suites.</t>
  </si>
  <si>
    <r>
      <t xml:space="preserve">Voert handmatige tests en eenvoudige geautomatiseerde scripts uit op basis van bestaande ontwerpen, registreert bevindingen en ondersteunt bij analyse van testresultaten voor een afgebakend systeem of component. SFIA-niveaus voor TEST: </t>
    </r>
    <r>
      <rPr>
        <b/>
        <sz val="11"/>
        <color theme="1"/>
        <rFont val="Aptos Narrow"/>
        <family val="2"/>
        <scheme val="minor"/>
      </rPr>
      <t>2–3</t>
    </r>
    <r>
      <rPr>
        <sz val="11"/>
        <color theme="1"/>
        <rFont val="Aptos Narrow"/>
        <family val="2"/>
        <scheme val="minor"/>
      </rPr>
      <t>.</t>
    </r>
  </si>
  <si>
    <r>
      <t xml:space="preserve">Ontwerpt testspecificaties en testdata, bouwt en onderhoudt geautomatiseerde testsuites, integreert deze in CI/CD en interpreteert de testresultaten in overleg met ontwikkelteams, Product Owner en business. SFIA-niveau voor TEST/PROG: </t>
    </r>
    <r>
      <rPr>
        <b/>
        <sz val="11"/>
        <color theme="1"/>
        <rFont val="Aptos Narrow"/>
        <family val="2"/>
        <scheme val="minor"/>
      </rPr>
      <t>4</t>
    </r>
    <r>
      <rPr>
        <sz val="11"/>
        <color theme="1"/>
        <rFont val="Aptos Narrow"/>
        <family val="2"/>
        <scheme val="minor"/>
      </rPr>
      <t>.</t>
    </r>
  </si>
  <si>
    <r>
      <t xml:space="preserve">Stelt test- en kwaliteitsstrategie op voor projecten of ketens, kiest testtools en frameworks, stuurt testteams aan en adviseert management over kwaliteitsrisico’s en acceptatiecriteria. SFIA-niveaus voor TEST: </t>
    </r>
    <r>
      <rPr>
        <b/>
        <sz val="11"/>
        <color theme="1"/>
        <rFont val="Aptos Narrow"/>
        <family val="2"/>
        <scheme val="minor"/>
      </rPr>
      <t>5–6</t>
    </r>
    <r>
      <rPr>
        <sz val="11"/>
        <color theme="1"/>
        <rFont val="Aptos Narrow"/>
        <family val="2"/>
        <scheme val="minor"/>
      </rPr>
      <t>.</t>
    </r>
  </si>
  <si>
    <t>Software developer</t>
  </si>
  <si>
    <t>Developer</t>
  </si>
  <si>
    <t>Ontwerpt en implementeert software-componenten volgens specificaties, voert unit- en integratietests uit en draagt bij aan documentatie en kwaliteitsverbetering van de oplossing.</t>
  </si>
  <si>
    <t>Ontwerpt en implementeert software­componenten volgens specificaties, voert unit- en integratietests uit en draagt bij aan documentatie, kwaliteitsverbetering en onderhoud van de oplossing.</t>
  </si>
  <si>
    <r>
      <t xml:space="preserve">Implementeert afgebakende user stories of componenten; schrijft unit-tests, lost eenvoudige defects op en volgt coding standards onder review van een ervaren ontwikkelaar. SFIA-niveaus voor PROG: </t>
    </r>
    <r>
      <rPr>
        <b/>
        <sz val="11"/>
        <color theme="1"/>
        <rFont val="Aptos Narrow"/>
        <family val="2"/>
        <scheme val="minor"/>
      </rPr>
      <t>2–3</t>
    </r>
    <r>
      <rPr>
        <sz val="11"/>
        <color theme="1"/>
        <rFont val="Aptos Narrow"/>
        <family val="2"/>
        <scheme val="minor"/>
      </rPr>
      <t>.</t>
    </r>
  </si>
  <si>
    <r>
      <t xml:space="preserve">Ontwerpt en realiseert complete features, maakt inschattingen, voert code-reviews uit, lost complexere defects op en levert bijdragen aan verbetering van codebasis en ontwikkelproces. SFIA-niveau voor PROG/SWDN: </t>
    </r>
    <r>
      <rPr>
        <b/>
        <sz val="11"/>
        <color theme="1"/>
        <rFont val="Aptos Narrow"/>
        <family val="2"/>
        <scheme val="minor"/>
      </rPr>
      <t>4</t>
    </r>
    <r>
      <rPr>
        <sz val="11"/>
        <color theme="1"/>
        <rFont val="Aptos Narrow"/>
        <family val="2"/>
        <scheme val="minor"/>
      </rPr>
      <t>.</t>
    </r>
  </si>
  <si>
    <r>
      <t xml:space="preserve">Treedt op als (technisch) lead developer; definieert technische patterns en richtlijnen, bewaakt technische schuld, coacht het team en werkt nauw samen met architectuur over oplossingsrichtingen. SFIA-niveaus voor PROG/SWDN: </t>
    </r>
    <r>
      <rPr>
        <b/>
        <sz val="11"/>
        <color theme="1"/>
        <rFont val="Aptos Narrow"/>
        <family val="2"/>
        <scheme val="minor"/>
      </rPr>
      <t>5–6</t>
    </r>
    <r>
      <rPr>
        <sz val="11"/>
        <color theme="1"/>
        <rFont val="Aptos Narrow"/>
        <family val="2"/>
        <scheme val="minor"/>
      </rPr>
      <t>.</t>
    </r>
  </si>
  <si>
    <t>Cybersecurity specialist / Security engineer</t>
  </si>
  <si>
    <t>Information security specialist</t>
  </si>
  <si>
    <t>Implementeert de informatiebeveiligings­policy via passende security-maatregelen; voert risico-analyses uit, valideert security-oplossingen en adviseert over maatregelen, bewustwording en compliance.</t>
  </si>
  <si>
    <t>Implementeert de informatiebeveiligings­policy via passende maatregelen, voert risicoanalyses en kwetsbaarheidsbeoordelingen uit, beoordeelt en ontwerpt security-oplossingen en adviseert over compliance en security-bewustzijn.</t>
  </si>
  <si>
    <r>
      <t xml:space="preserve">Voert standaard security-controles en -configuraties uit, analyseert eenvoudige alerts en incidenten en werkt conform vastgelegde procedures binnen een afgebakende scope. SFIA-niveaus voor SCTY: </t>
    </r>
    <r>
      <rPr>
        <b/>
        <sz val="11"/>
        <color theme="1"/>
        <rFont val="Aptos Narrow"/>
        <family val="2"/>
        <scheme val="minor"/>
      </rPr>
      <t>2–3</t>
    </r>
    <r>
      <rPr>
        <sz val="11"/>
        <color theme="1"/>
        <rFont val="Aptos Narrow"/>
        <family val="2"/>
        <scheme val="minor"/>
      </rPr>
      <t>.</t>
    </r>
  </si>
  <si>
    <r>
      <t xml:space="preserve">Ontwerpt en implementeert security-maatregelen voor systemen en ketens, voert risicoanalyses uit, ondersteunt projecten bij security-by-design en bereidt audits en assessments voor. SFIA-niveau voor SCTY: </t>
    </r>
    <r>
      <rPr>
        <b/>
        <sz val="11"/>
        <color theme="1"/>
        <rFont val="Aptos Narrow"/>
        <family val="2"/>
        <scheme val="minor"/>
      </rPr>
      <t>4</t>
    </r>
    <r>
      <rPr>
        <sz val="11"/>
        <color theme="1"/>
        <rFont val="Aptos Narrow"/>
        <family val="2"/>
        <scheme val="minor"/>
      </rPr>
      <t>.</t>
    </r>
  </si>
  <si>
    <r>
      <t xml:space="preserve">Ontwikkelt security-strategie en -beleid, leidt complexe security-incidenten en onderzoeken, stuurt security-teams aan en adviseert bestuur/management over risicoacceptatie en prioriteiten. SFIA-niveaus voor SCTY: </t>
    </r>
    <r>
      <rPr>
        <b/>
        <sz val="11"/>
        <color theme="1"/>
        <rFont val="Aptos Narrow"/>
        <family val="2"/>
        <scheme val="minor"/>
      </rPr>
      <t>5–7</t>
    </r>
    <r>
      <rPr>
        <sz val="11"/>
        <color theme="1"/>
        <rFont val="Aptos Narrow"/>
        <family val="2"/>
        <scheme val="minor"/>
      </rPr>
      <t>.</t>
    </r>
  </si>
  <si>
    <t>Cellen kleuren Rood indien de cel(len) niet voldoet aan gestelde eisen</t>
  </si>
  <si>
    <t>Voor alle inschrijfprijzen geldt dat prijspeil 2026 gehanteerd dient te worden</t>
  </si>
  <si>
    <t>inschrijfprijs</t>
  </si>
  <si>
    <t>De ingediende prijzen dienen gebaseerd te zijn op de eisen zoals vermeld in de aanbestedingsstukken, waaronder Gunningsleidraad, het Programma van Eisen en de Raamovereenkomst.</t>
  </si>
  <si>
    <t>Voor startvergoedingen en annuleringsvergoedingen zijn bepalingen uitgewerkt in bijlage 'D - concept overeenkomst' hoofdstuk 4.</t>
  </si>
  <si>
    <t>Alle waarden in kolom D zijn fictief, er kunnen geen rechten aan deze waarden worden ontleend.</t>
  </si>
  <si>
    <t>De opgegeven inschrijfprijzen in kolom F op het tabblad 'invulblad prijselementen' zijn de prijzen waarvoor de desbetreffende diensten/activiteiten/werkzaamheden moeten worden uitgevoerd. De prijzen die u invult in kolom F worden vermenigvuldigd met de fictieve aantallen voor een kalenderjaar in kolom D.</t>
  </si>
  <si>
    <t>U dient het uurloon voor de specifieke rol en/of niveaus in te vullen in kolom D. Alle uurtarieven die u in kolom D invoert, worden vermenigvuldigd met een fictief gewicht in kolom F, wat resulteert in de gewogen score in kolom H. Alle gewogen scores worden bij elkaar opgeteld in cel H22, dit is de prijs voor prijselement IT die wordt overgenomen in tabblad 'invulblad prijselementen'</t>
  </si>
  <si>
    <t>De maximum tarieven per rol zijn opgenomen in kolom E. Het is niet toegestaan om hogere tarieven in te dienen dan de maximum tarieven.</t>
  </si>
  <si>
    <t>De totaaltelling van het tabblad IT rollen in cel H22 wordt overgenomen in tabblad 'invulblad prijselementen' cel G35</t>
  </si>
  <si>
    <t>Alle waarden in kolom F zijn fictief, er kunnen geen rechten aan deze waarden worden ontleend.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</si>
</sst>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_ * #,##0_ ;_ * \-#,##0_ ;_ * &quot;-&quot;??_ ;_ @_ "/>
    <numFmt numFmtId="165" formatCode="_ [$€-2]\ * #,##0.00_ ;_ [$€-2]\ * \-#,##0.00_ ;_ [$€-2]\ * &quot;-&quot;??_ ;_ @_ "/>
  </numFmts>
  <fonts count="33"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color theme="1"/>
      <name val="Aptos Narrow"/>
      <family val="2"/>
      <scheme val="minor"/>
    </font>
    <font>
      <sz val="11"/>
      <color rgb="FF000000"/>
      <name val="Aptos"/>
      <family val="2"/>
    </font>
    <font>
      <sz val="11"/>
      <color rgb="FF000000"/>
      <name val="Calibri"/>
      <family val="2"/>
    </font>
    <font>
      <sz val="11"/>
      <name val="Aptos Narrow"/>
      <family val="2"/>
      <scheme val="minor"/>
    </font>
    <font>
      <b/>
      <sz val="11"/>
      <color rgb="FF000000"/>
      <name val="Calibri"/>
      <family val="2"/>
    </font>
    <font>
      <sz val="9.5"/>
      <color rgb="FF000000"/>
      <name val="NS Sans"/>
    </font>
    <font>
      <u/>
      <sz val="9.5"/>
      <color rgb="FF000000"/>
      <name val="NS Sans"/>
    </font>
    <font>
      <sz val="9.5"/>
      <name val="NS Sans"/>
    </font>
    <font>
      <sz val="9.5"/>
      <color rgb="FFFF0000"/>
      <name val="NS Sans"/>
    </font>
    <font>
      <sz val="18"/>
      <color rgb="FFFF0000"/>
      <name val="Aptos Narrow"/>
      <family val="2"/>
      <scheme val="minor"/>
    </font>
    <font>
      <b/>
      <u/>
      <sz val="14"/>
      <color theme="1"/>
      <name val="Aptos Narrow"/>
      <family val="2"/>
      <scheme val="minor"/>
    </font>
    <font>
      <sz val="12"/>
      <color rgb="FF000000"/>
      <name val="Aptos Narrow"/>
      <family val="2"/>
      <scheme val="minor"/>
    </font>
    <font>
      <b/>
      <sz val="16"/>
      <color theme="1"/>
      <name val="Aptos Narrow"/>
      <family val="2"/>
      <scheme val="minor"/>
    </font>
    <font>
      <sz val="11"/>
      <name val="Aptos Narrow"/>
      <family val="2"/>
    </font>
    <font>
      <sz val="9"/>
      <color theme="1"/>
      <name val="Aptos Display"/>
      <family val="2"/>
      <scheme val="major"/>
    </font>
    <font>
      <sz val="9"/>
      <color theme="1" tint="0.249977111117893"/>
      <name val="Aptos Display"/>
      <family val="2"/>
      <scheme val="major"/>
    </font>
    <font>
      <sz val="11"/>
      <color theme="1" tint="0.249977111117893"/>
      <name val="NS Sans"/>
    </font>
    <font>
      <sz val="9"/>
      <color theme="1" tint="0.249977111117893"/>
      <name val="Selawik Semibold"/>
      <family val="2"/>
    </font>
    <font>
      <sz val="10"/>
      <color theme="1" tint="0.249977111117893"/>
      <name val="Microsoft YaHei UI Light"/>
      <family val="2"/>
    </font>
    <font>
      <sz val="9"/>
      <color theme="1" tint="0.249977111117893"/>
      <name val="Microsoft YaHei UI Light"/>
      <family val="2"/>
    </font>
    <font>
      <sz val="9"/>
      <color theme="0"/>
      <name val="Century Gothic"/>
      <family val="2"/>
    </font>
    <font>
      <b/>
      <sz val="9"/>
      <color theme="1" tint="0.14999847407452621"/>
      <name val="Century Gothic"/>
      <family val="2"/>
    </font>
    <font>
      <sz val="9"/>
      <color theme="1" tint="0.14999847407452621"/>
      <name val="Aptos Display"/>
      <family val="2"/>
      <scheme val="major"/>
    </font>
    <font>
      <b/>
      <sz val="9.5"/>
      <color theme="0"/>
      <name val="Selawik Semibold"/>
      <family val="2"/>
    </font>
    <font>
      <sz val="9.5"/>
      <color theme="0"/>
      <name val="Selawik Semibold"/>
      <family val="2"/>
    </font>
    <font>
      <b/>
      <sz val="9.5"/>
      <name val="NS Sans"/>
    </font>
    <font>
      <sz val="9"/>
      <name val="Microsoft YaHei UI Light"/>
      <family val="2"/>
      <charset val="134"/>
    </font>
    <font>
      <b/>
      <sz val="11"/>
      <name val="Aptos Narrow"/>
      <family val="2"/>
      <scheme val="minor"/>
    </font>
    <font>
      <b/>
      <sz val="12"/>
      <color rgb="FF3F3F3F"/>
      <name val="Aptos Narrow"/>
      <family val="2"/>
      <scheme val="minor"/>
    </font>
    <font>
      <sz val="12"/>
      <color rgb="FF3F3F3F"/>
      <name val="Aptos Narrow"/>
      <family val="2"/>
      <scheme val="minor"/>
    </font>
  </fonts>
  <fills count="1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3" tint="0.89999084444715716"/>
        <bgColor indexed="64"/>
      </patternFill>
    </fill>
    <fill>
      <patternFill patternType="solid">
        <fgColor rgb="FFDEEAF6"/>
        <bgColor indexed="64"/>
      </patternFill>
    </fill>
    <fill>
      <patternFill patternType="solid">
        <fgColor rgb="FF003082"/>
        <bgColor indexed="64"/>
      </patternFill>
    </fill>
    <fill>
      <patternFill patternType="solid">
        <fgColor rgb="FFF2F2F2"/>
      </patternFill>
    </fill>
  </fills>
  <borders count="19">
    <border>
      <left/>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top/>
      <bottom style="double">
        <color indexed="64"/>
      </bottom>
      <diagonal/>
    </border>
    <border>
      <left/>
      <right/>
      <top style="double">
        <color indexed="64"/>
      </top>
      <bottom style="thin">
        <color indexed="64"/>
      </bottom>
      <diagonal/>
    </border>
    <border>
      <left style="thin">
        <color rgb="FF3F3F3F"/>
      </left>
      <right style="thin">
        <color rgb="FF3F3F3F"/>
      </right>
      <top style="thin">
        <color rgb="FF3F3F3F"/>
      </top>
      <bottom style="thin">
        <color rgb="FF3F3F3F"/>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bottom style="thin">
        <color indexed="64"/>
      </bottom>
      <diagonal/>
    </border>
  </borders>
  <cellStyleXfs count="8">
    <xf numFmtId="0" fontId="0" fillId="0" borderId="0"/>
    <xf numFmtId="44"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5" fillId="0" borderId="0"/>
    <xf numFmtId="0" fontId="16" fillId="0" borderId="0"/>
    <xf numFmtId="0" fontId="16" fillId="0" borderId="0"/>
    <xf numFmtId="0" fontId="31" fillId="9" borderId="16" applyNumberFormat="0" applyAlignment="0" applyProtection="0"/>
  </cellStyleXfs>
  <cellXfs count="85">
    <xf numFmtId="0" fontId="0" fillId="0" borderId="0" xfId="0"/>
    <xf numFmtId="0" fontId="2" fillId="0" borderId="0" xfId="0" applyFont="1"/>
    <xf numFmtId="0" fontId="0" fillId="0" borderId="0" xfId="0" applyAlignment="1">
      <alignment wrapText="1"/>
    </xf>
    <xf numFmtId="0" fontId="4" fillId="0" borderId="0" xfId="0" applyFont="1" applyAlignment="1">
      <alignment wrapText="1"/>
    </xf>
    <xf numFmtId="0" fontId="2" fillId="0" borderId="0" xfId="0" applyFont="1" applyAlignment="1">
      <alignment wrapText="1"/>
    </xf>
    <xf numFmtId="44" fontId="2" fillId="0" borderId="0" xfId="1" applyFont="1"/>
    <xf numFmtId="164" fontId="0" fillId="0" borderId="0" xfId="2" applyNumberFormat="1" applyFont="1"/>
    <xf numFmtId="0" fontId="2" fillId="0" borderId="0" xfId="0" applyFont="1" applyAlignment="1">
      <alignment horizontal="center" wrapText="1"/>
    </xf>
    <xf numFmtId="44" fontId="0" fillId="5" borderId="0" xfId="1" applyFont="1" applyFill="1" applyProtection="1">
      <protection locked="0"/>
    </xf>
    <xf numFmtId="0" fontId="7" fillId="0" borderId="0" xfId="0" applyFont="1"/>
    <xf numFmtId="0" fontId="8" fillId="0" borderId="0" xfId="0" applyFont="1" applyAlignment="1">
      <alignment horizontal="left" vertical="top" wrapText="1"/>
    </xf>
    <xf numFmtId="0" fontId="10" fillId="0" borderId="0" xfId="0" applyFont="1" applyAlignment="1">
      <alignment horizontal="left" vertical="top" wrapText="1"/>
    </xf>
    <xf numFmtId="0" fontId="0" fillId="6" borderId="0" xfId="0" applyFill="1" applyAlignment="1">
      <alignment wrapText="1"/>
    </xf>
    <xf numFmtId="0" fontId="11" fillId="0" borderId="0" xfId="0" applyFont="1" applyAlignment="1">
      <alignment horizontal="left" vertical="top" wrapText="1"/>
    </xf>
    <xf numFmtId="164" fontId="0" fillId="0" borderId="0" xfId="2" applyNumberFormat="1" applyFont="1" applyAlignment="1">
      <alignment horizontal="left" vertical="top"/>
    </xf>
    <xf numFmtId="164" fontId="6" fillId="0" borderId="0" xfId="2" applyNumberFormat="1" applyFont="1" applyAlignment="1">
      <alignment horizontal="left" vertical="top"/>
    </xf>
    <xf numFmtId="164" fontId="0" fillId="0" borderId="0" xfId="2" applyNumberFormat="1" applyFont="1" applyFill="1" applyAlignment="1">
      <alignment horizontal="left" vertical="top"/>
    </xf>
    <xf numFmtId="164" fontId="6" fillId="0" borderId="0" xfId="2" applyNumberFormat="1" applyFont="1" applyFill="1" applyAlignment="1">
      <alignment horizontal="left" vertical="top"/>
    </xf>
    <xf numFmtId="0" fontId="2" fillId="0" borderId="0" xfId="0" applyFont="1" applyAlignment="1">
      <alignment horizontal="left" vertical="top"/>
    </xf>
    <xf numFmtId="0" fontId="0" fillId="0" borderId="0" xfId="0" applyAlignment="1">
      <alignment horizontal="left" vertical="top"/>
    </xf>
    <xf numFmtId="0" fontId="12" fillId="0" borderId="0" xfId="0" applyFont="1" applyAlignment="1">
      <alignment vertical="center" wrapText="1"/>
    </xf>
    <xf numFmtId="0" fontId="14" fillId="0" borderId="0" xfId="0" applyFont="1"/>
    <xf numFmtId="0" fontId="15" fillId="0" borderId="0" xfId="0" applyFont="1"/>
    <xf numFmtId="44" fontId="2" fillId="0" borderId="0" xfId="1" applyFont="1" applyFill="1" applyProtection="1">
      <protection locked="0"/>
    </xf>
    <xf numFmtId="0" fontId="18" fillId="2" borderId="0" xfId="0" applyFont="1" applyFill="1"/>
    <xf numFmtId="0" fontId="19" fillId="7" borderId="6" xfId="0" applyFont="1" applyFill="1" applyBorder="1" applyAlignment="1">
      <alignment horizontal="left" vertical="center"/>
    </xf>
    <xf numFmtId="0" fontId="20" fillId="2" borderId="0" xfId="0" applyFont="1" applyFill="1" applyAlignment="1">
      <alignment horizontal="left" vertical="center"/>
    </xf>
    <xf numFmtId="0" fontId="19" fillId="7" borderId="6" xfId="0" applyFont="1" applyFill="1" applyBorder="1" applyAlignment="1">
      <alignment horizontal="center" vertical="center"/>
    </xf>
    <xf numFmtId="0" fontId="20" fillId="2" borderId="0" xfId="0" applyFont="1" applyFill="1" applyAlignment="1">
      <alignment horizontal="center" vertical="center"/>
    </xf>
    <xf numFmtId="0" fontId="21" fillId="2" borderId="7" xfId="0" applyFont="1" applyFill="1" applyBorder="1" applyAlignment="1">
      <alignment horizontal="left" vertical="center"/>
    </xf>
    <xf numFmtId="0" fontId="22" fillId="2" borderId="0" xfId="0" applyFont="1" applyFill="1" applyAlignment="1">
      <alignment horizontal="left" vertical="center"/>
    </xf>
    <xf numFmtId="0" fontId="22" fillId="2" borderId="0" xfId="0" applyFont="1" applyFill="1" applyAlignment="1">
      <alignment horizontal="center" vertical="center"/>
    </xf>
    <xf numFmtId="0" fontId="21" fillId="2" borderId="8" xfId="0" applyFont="1" applyFill="1" applyBorder="1" applyAlignment="1">
      <alignment horizontal="left" vertical="center"/>
    </xf>
    <xf numFmtId="165" fontId="22" fillId="2" borderId="8" xfId="3" applyNumberFormat="1" applyFont="1" applyFill="1" applyBorder="1" applyAlignment="1" applyProtection="1">
      <alignment horizontal="center" vertical="center"/>
    </xf>
    <xf numFmtId="0" fontId="21" fillId="2" borderId="9" xfId="0" applyFont="1" applyFill="1" applyBorder="1" applyAlignment="1">
      <alignment horizontal="left" vertical="center"/>
    </xf>
    <xf numFmtId="0" fontId="23" fillId="2" borderId="0" xfId="0" applyFont="1" applyFill="1" applyAlignment="1">
      <alignment horizontal="left" vertical="center"/>
    </xf>
    <xf numFmtId="0" fontId="24" fillId="2" borderId="0" xfId="0" applyFont="1" applyFill="1" applyAlignment="1">
      <alignment horizontal="left" vertical="center"/>
    </xf>
    <xf numFmtId="44" fontId="25" fillId="2" borderId="0" xfId="1" applyFont="1" applyFill="1" applyBorder="1" applyAlignment="1" applyProtection="1">
      <alignment horizontal="center" vertical="center"/>
    </xf>
    <xf numFmtId="0" fontId="17" fillId="2" borderId="0" xfId="0" applyFont="1" applyFill="1" applyAlignment="1">
      <alignment horizontal="center" vertical="center"/>
    </xf>
    <xf numFmtId="44" fontId="27" fillId="8" borderId="6" xfId="1" applyFont="1" applyFill="1" applyBorder="1" applyAlignment="1" applyProtection="1">
      <alignment horizontal="center" vertical="center"/>
    </xf>
    <xf numFmtId="44" fontId="0" fillId="0" borderId="0" xfId="1" applyFont="1" applyFill="1"/>
    <xf numFmtId="0" fontId="19" fillId="7" borderId="2" xfId="0" applyFont="1" applyFill="1" applyBorder="1" applyAlignment="1">
      <alignment horizontal="center" vertical="center"/>
    </xf>
    <xf numFmtId="1" fontId="22" fillId="2" borderId="1" xfId="1" applyNumberFormat="1" applyFont="1" applyFill="1" applyBorder="1" applyAlignment="1" applyProtection="1">
      <alignment horizontal="center" vertical="center"/>
    </xf>
    <xf numFmtId="1" fontId="22" fillId="2" borderId="12" xfId="1" applyNumberFormat="1" applyFont="1" applyFill="1" applyBorder="1" applyAlignment="1" applyProtection="1">
      <alignment horizontal="center" vertical="center"/>
    </xf>
    <xf numFmtId="1" fontId="22" fillId="2" borderId="13" xfId="1" applyNumberFormat="1" applyFont="1" applyFill="1" applyBorder="1" applyAlignment="1" applyProtection="1">
      <alignment horizontal="center" vertical="center"/>
    </xf>
    <xf numFmtId="44" fontId="6" fillId="5" borderId="11" xfId="1" applyFont="1" applyFill="1" applyBorder="1" applyProtection="1">
      <protection locked="0"/>
    </xf>
    <xf numFmtId="165" fontId="29" fillId="2" borderId="7" xfId="3" applyNumberFormat="1" applyFont="1" applyFill="1" applyBorder="1" applyAlignment="1">
      <alignment horizontal="center" vertical="center"/>
    </xf>
    <xf numFmtId="165" fontId="29" fillId="2" borderId="8" xfId="3" applyNumberFormat="1" applyFont="1" applyFill="1" applyBorder="1" applyAlignment="1">
      <alignment horizontal="center" vertical="center"/>
    </xf>
    <xf numFmtId="165" fontId="29" fillId="2" borderId="10" xfId="3" applyNumberFormat="1" applyFont="1" applyFill="1" applyBorder="1" applyAlignment="1">
      <alignment horizontal="center" vertical="center"/>
    </xf>
    <xf numFmtId="44" fontId="6" fillId="3" borderId="0" xfId="1" applyFont="1" applyFill="1" applyProtection="1">
      <protection locked="0"/>
    </xf>
    <xf numFmtId="0" fontId="1" fillId="6" borderId="0" xfId="0" applyFont="1" applyFill="1"/>
    <xf numFmtId="44" fontId="10" fillId="5" borderId="0" xfId="1" applyFont="1" applyFill="1" applyProtection="1">
      <protection locked="0"/>
    </xf>
    <xf numFmtId="44" fontId="2" fillId="0" borderId="0" xfId="1" applyFont="1" applyFill="1"/>
    <xf numFmtId="44" fontId="0" fillId="0" borderId="0" xfId="0" applyNumberFormat="1"/>
    <xf numFmtId="0" fontId="6" fillId="0" borderId="0" xfId="0" applyFont="1" applyAlignment="1">
      <alignment wrapText="1"/>
    </xf>
    <xf numFmtId="0" fontId="0" fillId="0" borderId="14" xfId="0" applyBorder="1"/>
    <xf numFmtId="0" fontId="1" fillId="0" borderId="0" xfId="0" applyFont="1" applyAlignment="1">
      <alignment horizontal="right"/>
    </xf>
    <xf numFmtId="0" fontId="28" fillId="0" borderId="0" xfId="0" applyFont="1" applyAlignment="1">
      <alignment horizontal="left" vertical="top" wrapText="1"/>
    </xf>
    <xf numFmtId="44" fontId="6" fillId="3" borderId="0" xfId="1" applyFont="1" applyFill="1"/>
    <xf numFmtId="44" fontId="6" fillId="5" borderId="0" xfId="1" applyFont="1" applyFill="1" applyProtection="1">
      <protection locked="0"/>
    </xf>
    <xf numFmtId="0" fontId="6" fillId="0" borderId="14" xfId="0" applyFont="1" applyBorder="1"/>
    <xf numFmtId="44" fontId="1" fillId="0" borderId="0" xfId="1" applyFont="1" applyFill="1"/>
    <xf numFmtId="44" fontId="30" fillId="0" borderId="0" xfId="0" applyNumberFormat="1" applyFont="1"/>
    <xf numFmtId="44" fontId="1" fillId="0" borderId="0" xfId="0" applyNumberFormat="1" applyFont="1"/>
    <xf numFmtId="44" fontId="30" fillId="0" borderId="0" xfId="1" applyFont="1" applyFill="1" applyProtection="1">
      <protection locked="0"/>
    </xf>
    <xf numFmtId="0" fontId="1" fillId="0" borderId="15" xfId="0" applyFont="1" applyBorder="1" applyAlignment="1">
      <alignment horizontal="right"/>
    </xf>
    <xf numFmtId="43" fontId="1" fillId="0" borderId="15" xfId="0" applyNumberFormat="1" applyFont="1" applyBorder="1"/>
    <xf numFmtId="165" fontId="29" fillId="2" borderId="9" xfId="3" applyNumberFormat="1" applyFont="1" applyFill="1" applyBorder="1" applyAlignment="1">
      <alignment horizontal="center" vertical="center"/>
    </xf>
    <xf numFmtId="0" fontId="19" fillId="7" borderId="17" xfId="0" applyFont="1" applyFill="1" applyBorder="1" applyAlignment="1">
      <alignment horizontal="center" vertical="center"/>
    </xf>
    <xf numFmtId="165" fontId="22" fillId="2" borderId="18" xfId="3" applyNumberFormat="1" applyFont="1" applyFill="1" applyBorder="1" applyAlignment="1" applyProtection="1">
      <alignment horizontal="center" vertical="center"/>
    </xf>
    <xf numFmtId="0" fontId="21" fillId="2" borderId="10" xfId="0" applyFont="1" applyFill="1" applyBorder="1" applyAlignment="1">
      <alignment horizontal="left" vertical="center"/>
    </xf>
    <xf numFmtId="165" fontId="22" fillId="2" borderId="10" xfId="3" applyNumberFormat="1" applyFont="1" applyFill="1" applyBorder="1" applyAlignment="1" applyProtection="1">
      <alignment horizontal="center" vertical="center"/>
    </xf>
    <xf numFmtId="0" fontId="0" fillId="0" borderId="0" xfId="0" applyAlignment="1">
      <alignment vertical="top"/>
    </xf>
    <xf numFmtId="0" fontId="1" fillId="0" borderId="0" xfId="0" applyFont="1" applyAlignment="1">
      <alignment vertical="top" wrapText="1"/>
    </xf>
    <xf numFmtId="0" fontId="0" fillId="0" borderId="0" xfId="0" applyAlignment="1">
      <alignment vertical="top" wrapText="1"/>
    </xf>
    <xf numFmtId="0" fontId="0" fillId="0" borderId="0" xfId="0" applyAlignment="1">
      <alignment horizontal="center"/>
    </xf>
    <xf numFmtId="0" fontId="13" fillId="6" borderId="0" xfId="0" applyFont="1" applyFill="1" applyAlignment="1">
      <alignment horizontal="center" vertical="center" wrapText="1"/>
    </xf>
    <xf numFmtId="0" fontId="28" fillId="4" borderId="3" xfId="0" applyFont="1" applyFill="1" applyBorder="1" applyAlignment="1">
      <alignment horizontal="left" vertical="center" wrapText="1"/>
    </xf>
    <xf numFmtId="0" fontId="28" fillId="4" borderId="4" xfId="0" applyFont="1" applyFill="1" applyBorder="1" applyAlignment="1">
      <alignment horizontal="left" vertical="center" wrapText="1"/>
    </xf>
    <xf numFmtId="0" fontId="28" fillId="4" borderId="5" xfId="0" applyFont="1" applyFill="1" applyBorder="1" applyAlignment="1">
      <alignment horizontal="left" vertical="center" wrapText="1"/>
    </xf>
    <xf numFmtId="0" fontId="26" fillId="8" borderId="3" xfId="0" applyFont="1" applyFill="1" applyBorder="1" applyAlignment="1">
      <alignment horizontal="right" vertical="center"/>
    </xf>
    <xf numFmtId="0" fontId="26" fillId="8" borderId="4" xfId="0" applyFont="1" applyFill="1" applyBorder="1" applyAlignment="1">
      <alignment horizontal="right" vertical="center"/>
    </xf>
    <xf numFmtId="0" fontId="26" fillId="8" borderId="5" xfId="0" applyFont="1" applyFill="1" applyBorder="1" applyAlignment="1">
      <alignment horizontal="right" vertical="center"/>
    </xf>
    <xf numFmtId="0" fontId="31" fillId="9" borderId="16" xfId="7" applyAlignment="1">
      <alignment vertical="top" wrapText="1"/>
    </xf>
    <xf numFmtId="0" fontId="31" fillId="9" borderId="16" xfId="7" applyAlignment="1">
      <alignment vertical="top"/>
    </xf>
  </cellXfs>
  <cellStyles count="8">
    <cellStyle name="Komma" xfId="2" builtinId="3"/>
    <cellStyle name="Procent" xfId="3" builtinId="5"/>
    <cellStyle name="Standaard" xfId="0" builtinId="0"/>
    <cellStyle name="Standaard 2" xfId="4" xr:uid="{99567CBA-6DF9-4E0A-B0EB-8BD28812ADDB}"/>
    <cellStyle name="Standaard 2 2" xfId="5" xr:uid="{E0A9CC40-16CC-4B9E-8E27-FB1A7411F1BA}"/>
    <cellStyle name="Standaard 3" xfId="6" xr:uid="{4CFCCF2D-A175-4F0D-BDB8-9C810D004AEC}"/>
    <cellStyle name="Uitvoer 2" xfId="7" xr:uid="{283B9CDE-1A3A-47BD-909F-406D1407A09D}"/>
    <cellStyle name="Valuta" xfId="1" builtinId="4"/>
  </cellStyles>
  <dxfs count="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CA135-3DFB-4271-A81E-9FE6AE0DC0F4}">
  <dimension ref="A1:A32"/>
  <sheetViews>
    <sheetView tabSelected="1" zoomScale="80" zoomScaleNormal="80" workbookViewId="0">
      <selection activeCell="A10" sqref="A10"/>
    </sheetView>
  </sheetViews>
  <sheetFormatPr defaultColWidth="8.81640625" defaultRowHeight="14.5" x14ac:dyDescent="0.35"/>
  <cols>
    <col min="1" max="1" width="213" bestFit="1" customWidth="1"/>
  </cols>
  <sheetData>
    <row r="1" spans="1:1" x14ac:dyDescent="0.35">
      <c r="A1" s="9" t="s">
        <v>0</v>
      </c>
    </row>
    <row r="2" spans="1:1" ht="24" x14ac:dyDescent="0.35">
      <c r="A2" s="10" t="s">
        <v>1</v>
      </c>
    </row>
    <row r="3" spans="1:1" x14ac:dyDescent="0.35">
      <c r="A3" s="51" t="s">
        <v>2</v>
      </c>
    </row>
    <row r="4" spans="1:1" x14ac:dyDescent="0.35">
      <c r="A4" s="10" t="s">
        <v>141</v>
      </c>
    </row>
    <row r="5" spans="1:1" x14ac:dyDescent="0.35">
      <c r="A5" s="11" t="s">
        <v>3</v>
      </c>
    </row>
    <row r="6" spans="1:1" x14ac:dyDescent="0.35">
      <c r="A6" s="10" t="s">
        <v>142</v>
      </c>
    </row>
    <row r="7" spans="1:1" x14ac:dyDescent="0.35">
      <c r="A7" s="10" t="s">
        <v>4</v>
      </c>
    </row>
    <row r="8" spans="1:1" x14ac:dyDescent="0.35">
      <c r="A8" s="10" t="s">
        <v>144</v>
      </c>
    </row>
    <row r="9" spans="1:1" x14ac:dyDescent="0.35">
      <c r="A9" s="10" t="s">
        <v>5</v>
      </c>
    </row>
    <row r="10" spans="1:1" x14ac:dyDescent="0.35">
      <c r="A10" s="10" t="s">
        <v>6</v>
      </c>
    </row>
    <row r="12" spans="1:1" x14ac:dyDescent="0.35">
      <c r="A12" s="12" t="s">
        <v>7</v>
      </c>
    </row>
    <row r="13" spans="1:1" ht="24" x14ac:dyDescent="0.35">
      <c r="A13" s="10" t="s">
        <v>147</v>
      </c>
    </row>
    <row r="14" spans="1:1" x14ac:dyDescent="0.35">
      <c r="A14" s="10" t="s">
        <v>146</v>
      </c>
    </row>
    <row r="15" spans="1:1" x14ac:dyDescent="0.35">
      <c r="A15" s="10" t="s">
        <v>68</v>
      </c>
    </row>
    <row r="16" spans="1:1" x14ac:dyDescent="0.35">
      <c r="A16" s="10" t="s">
        <v>66</v>
      </c>
    </row>
    <row r="17" spans="1:1" x14ac:dyDescent="0.35">
      <c r="A17" s="10" t="s">
        <v>67</v>
      </c>
    </row>
    <row r="18" spans="1:1" x14ac:dyDescent="0.35">
      <c r="A18" s="10" t="s">
        <v>69</v>
      </c>
    </row>
    <row r="19" spans="1:1" x14ac:dyDescent="0.35">
      <c r="A19" s="10" t="s">
        <v>70</v>
      </c>
    </row>
    <row r="20" spans="1:1" x14ac:dyDescent="0.35">
      <c r="A20" s="10" t="s">
        <v>8</v>
      </c>
    </row>
    <row r="21" spans="1:1" x14ac:dyDescent="0.35">
      <c r="A21" s="10" t="s">
        <v>145</v>
      </c>
    </row>
    <row r="22" spans="1:1" x14ac:dyDescent="0.35">
      <c r="A22" s="13"/>
    </row>
    <row r="23" spans="1:1" x14ac:dyDescent="0.35">
      <c r="A23" s="57" t="s">
        <v>9</v>
      </c>
    </row>
    <row r="24" spans="1:1" x14ac:dyDescent="0.35">
      <c r="A24" s="11" t="s">
        <v>10</v>
      </c>
    </row>
    <row r="25" spans="1:1" x14ac:dyDescent="0.35">
      <c r="A25" s="11" t="s">
        <v>11</v>
      </c>
    </row>
    <row r="27" spans="1:1" x14ac:dyDescent="0.35">
      <c r="A27" s="12" t="s">
        <v>12</v>
      </c>
    </row>
    <row r="28" spans="1:1" ht="26.5" customHeight="1" x14ac:dyDescent="0.35">
      <c r="A28" s="10" t="s">
        <v>148</v>
      </c>
    </row>
    <row r="29" spans="1:1" x14ac:dyDescent="0.35">
      <c r="A29" s="10" t="s">
        <v>149</v>
      </c>
    </row>
    <row r="30" spans="1:1" ht="27" customHeight="1" x14ac:dyDescent="0.35">
      <c r="A30" s="10" t="s">
        <v>13</v>
      </c>
    </row>
    <row r="31" spans="1:1" x14ac:dyDescent="0.35">
      <c r="A31" s="10" t="s">
        <v>150</v>
      </c>
    </row>
    <row r="32" spans="1:1" x14ac:dyDescent="0.35">
      <c r="A32" s="10" t="s">
        <v>151</v>
      </c>
    </row>
  </sheetData>
  <sheetProtection algorithmName="SHA-512" hashValue="HKYNBioPpyQ/uhboyiP5UNJMofyheDWeBE4VGCdSZ7SIO5PvMpFj6WL036+KqBpsfJftjILjDhgREsR1t/AnDA==" saltValue="RHkjax5mRZipOtd1Xw67Xw=="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DCF6-500B-4D6B-982D-F2D669BBDB13}">
  <dimension ref="A1:J48"/>
  <sheetViews>
    <sheetView zoomScale="70" zoomScaleNormal="70" workbookViewId="0">
      <selection activeCell="G35" sqref="G35"/>
    </sheetView>
  </sheetViews>
  <sheetFormatPr defaultColWidth="8.81640625" defaultRowHeight="14.5" x14ac:dyDescent="0.35"/>
  <cols>
    <col min="1" max="1" width="40.453125" customWidth="1"/>
    <col min="2" max="2" width="83.453125" customWidth="1"/>
    <col min="3" max="3" width="65" customWidth="1"/>
    <col min="4" max="4" width="15.453125" customWidth="1"/>
    <col min="5" max="5" width="24.81640625" customWidth="1"/>
    <col min="6" max="6" width="40.1796875" bestFit="1" customWidth="1"/>
    <col min="7" max="7" width="26" bestFit="1" customWidth="1"/>
    <col min="8" max="8" width="35.453125" bestFit="1" customWidth="1"/>
    <col min="9" max="9" width="15.1796875" customWidth="1"/>
    <col min="10" max="10" width="40.453125" customWidth="1"/>
  </cols>
  <sheetData>
    <row r="1" spans="1:10" ht="21" x14ac:dyDescent="0.5">
      <c r="A1" s="22" t="s">
        <v>14</v>
      </c>
    </row>
    <row r="2" spans="1:10" ht="37" customHeight="1" x14ac:dyDescent="0.35">
      <c r="A2" s="76" t="s">
        <v>7</v>
      </c>
      <c r="B2" s="76"/>
      <c r="G2" s="75"/>
      <c r="H2" s="75"/>
      <c r="I2" s="75"/>
    </row>
    <row r="3" spans="1:10" x14ac:dyDescent="0.35">
      <c r="B3" s="50" t="s">
        <v>65</v>
      </c>
      <c r="C3" s="50" t="s">
        <v>15</v>
      </c>
      <c r="D3" s="50" t="s">
        <v>16</v>
      </c>
      <c r="F3" s="54" t="s">
        <v>17</v>
      </c>
      <c r="G3" s="50" t="s">
        <v>143</v>
      </c>
    </row>
    <row r="4" spans="1:10" x14ac:dyDescent="0.35">
      <c r="A4" s="2"/>
      <c r="B4" t="s">
        <v>18</v>
      </c>
      <c r="C4" t="s">
        <v>19</v>
      </c>
      <c r="D4" s="14">
        <v>173250</v>
      </c>
      <c r="F4" s="8"/>
      <c r="G4" s="40">
        <f>D4*F4</f>
        <v>0</v>
      </c>
      <c r="H4" s="40"/>
      <c r="I4" s="40"/>
      <c r="J4" s="40"/>
    </row>
    <row r="5" spans="1:10" x14ac:dyDescent="0.35">
      <c r="B5" t="s">
        <v>64</v>
      </c>
      <c r="C5" t="s">
        <v>19</v>
      </c>
      <c r="D5" s="15">
        <v>9625</v>
      </c>
      <c r="F5" s="8"/>
      <c r="G5" s="40">
        <f t="shared" ref="G5:G8" si="0">D5*F5</f>
        <v>0</v>
      </c>
      <c r="H5" s="40"/>
      <c r="I5" s="40"/>
      <c r="J5" s="40"/>
    </row>
    <row r="6" spans="1:10" x14ac:dyDescent="0.35">
      <c r="B6" t="s">
        <v>20</v>
      </c>
      <c r="C6" t="s">
        <v>19</v>
      </c>
      <c r="D6" s="15">
        <v>5000</v>
      </c>
      <c r="F6" s="8"/>
      <c r="G6" s="40">
        <f t="shared" si="0"/>
        <v>0</v>
      </c>
      <c r="H6" s="40"/>
      <c r="I6" s="52"/>
      <c r="J6" s="40"/>
    </row>
    <row r="7" spans="1:10" x14ac:dyDescent="0.35">
      <c r="A7" s="2"/>
      <c r="B7" t="s">
        <v>21</v>
      </c>
      <c r="C7" t="s">
        <v>19</v>
      </c>
      <c r="D7" s="15">
        <v>5775</v>
      </c>
      <c r="F7" s="8"/>
      <c r="G7" s="40">
        <f t="shared" si="0"/>
        <v>0</v>
      </c>
      <c r="H7" s="40"/>
      <c r="I7" s="40"/>
      <c r="J7" s="40"/>
    </row>
    <row r="8" spans="1:10" x14ac:dyDescent="0.35">
      <c r="B8" t="s">
        <v>22</v>
      </c>
      <c r="C8" t="s">
        <v>19</v>
      </c>
      <c r="D8" s="15">
        <v>3850</v>
      </c>
      <c r="F8" s="8"/>
      <c r="G8" s="40">
        <f t="shared" si="0"/>
        <v>0</v>
      </c>
      <c r="H8" s="40"/>
      <c r="I8" s="40"/>
      <c r="J8" s="40"/>
    </row>
    <row r="9" spans="1:10" ht="15" thickBot="1" x14ac:dyDescent="0.4">
      <c r="A9" s="4"/>
      <c r="D9" s="14"/>
      <c r="F9" s="60"/>
      <c r="G9" s="60"/>
    </row>
    <row r="10" spans="1:10" ht="15" thickTop="1" x14ac:dyDescent="0.35">
      <c r="A10" s="4"/>
      <c r="D10" s="14"/>
      <c r="F10" s="56" t="s">
        <v>23</v>
      </c>
      <c r="G10" s="63">
        <f>G4+G5+G6+G7+G8</f>
        <v>0</v>
      </c>
    </row>
    <row r="11" spans="1:10" x14ac:dyDescent="0.35">
      <c r="B11" s="50" t="s">
        <v>24</v>
      </c>
      <c r="C11" s="50" t="s">
        <v>15</v>
      </c>
      <c r="D11" s="50" t="s">
        <v>16</v>
      </c>
      <c r="F11" s="6"/>
      <c r="G11" s="40"/>
      <c r="H11" s="40"/>
      <c r="I11" s="40"/>
    </row>
    <row r="12" spans="1:10" ht="14.5" customHeight="1" x14ac:dyDescent="0.35">
      <c r="A12" s="20"/>
      <c r="B12" t="s">
        <v>25</v>
      </c>
      <c r="C12" t="s">
        <v>26</v>
      </c>
      <c r="D12" s="16">
        <v>4000</v>
      </c>
      <c r="F12" s="59"/>
      <c r="G12" s="40">
        <f>D12*F12</f>
        <v>0</v>
      </c>
      <c r="H12" s="40"/>
      <c r="I12" s="40"/>
      <c r="J12" s="40"/>
    </row>
    <row r="13" spans="1:10" ht="14.5" customHeight="1" x14ac:dyDescent="0.35">
      <c r="A13" s="20"/>
      <c r="B13" t="s">
        <v>27</v>
      </c>
      <c r="C13" t="s">
        <v>28</v>
      </c>
      <c r="D13" s="16"/>
      <c r="F13" s="58">
        <f>F12/100*50</f>
        <v>0</v>
      </c>
      <c r="H13" s="40"/>
      <c r="I13" s="40"/>
      <c r="J13" s="40"/>
    </row>
    <row r="14" spans="1:10" ht="14.5" customHeight="1" x14ac:dyDescent="0.35">
      <c r="A14" s="20"/>
      <c r="B14" t="s">
        <v>29</v>
      </c>
      <c r="C14" t="s">
        <v>30</v>
      </c>
      <c r="D14" s="17">
        <v>200</v>
      </c>
      <c r="F14" s="59"/>
      <c r="G14" s="40">
        <f>D14*F14</f>
        <v>0</v>
      </c>
      <c r="H14" s="40"/>
      <c r="I14" s="40"/>
      <c r="J14" s="40"/>
    </row>
    <row r="15" spans="1:10" ht="14.5" customHeight="1" x14ac:dyDescent="0.35">
      <c r="A15" s="20"/>
      <c r="B15" t="s">
        <v>31</v>
      </c>
      <c r="C15" t="s">
        <v>28</v>
      </c>
      <c r="D15" s="17"/>
      <c r="F15" s="58">
        <f>F14/100*50</f>
        <v>0</v>
      </c>
      <c r="H15" s="40"/>
      <c r="I15" s="40"/>
      <c r="J15" s="40"/>
    </row>
    <row r="16" spans="1:10" ht="16.5" customHeight="1" x14ac:dyDescent="0.35">
      <c r="A16" s="20"/>
      <c r="B16" t="s">
        <v>32</v>
      </c>
      <c r="C16" t="s">
        <v>33</v>
      </c>
      <c r="D16" s="17"/>
      <c r="F16" s="58">
        <f>F12</f>
        <v>0</v>
      </c>
      <c r="H16" s="40"/>
      <c r="I16" s="40"/>
      <c r="J16" s="40"/>
    </row>
    <row r="17" spans="1:10" ht="16.5" customHeight="1" x14ac:dyDescent="0.35">
      <c r="A17" s="20"/>
      <c r="C17" t="s">
        <v>34</v>
      </c>
      <c r="D17" s="17"/>
      <c r="F17" s="58">
        <f>F16/100*50</f>
        <v>0</v>
      </c>
      <c r="H17" s="40"/>
      <c r="I17" s="40"/>
      <c r="J17" s="40"/>
    </row>
    <row r="18" spans="1:10" ht="16.5" customHeight="1" x14ac:dyDescent="0.35">
      <c r="A18" s="20"/>
      <c r="B18" t="s">
        <v>35</v>
      </c>
      <c r="C18" t="s">
        <v>36</v>
      </c>
      <c r="D18" s="17"/>
      <c r="F18" s="58">
        <f>F14</f>
        <v>0</v>
      </c>
      <c r="H18" s="40"/>
      <c r="I18" s="40"/>
      <c r="J18" s="40"/>
    </row>
    <row r="19" spans="1:10" ht="16.5" customHeight="1" x14ac:dyDescent="0.35">
      <c r="A19" s="20"/>
      <c r="C19" t="s">
        <v>37</v>
      </c>
      <c r="D19" s="17"/>
      <c r="F19" s="58">
        <f>F18/100*50</f>
        <v>0</v>
      </c>
      <c r="H19" s="40"/>
      <c r="I19" s="40"/>
      <c r="J19" s="40"/>
    </row>
    <row r="20" spans="1:10" ht="15" thickBot="1" x14ac:dyDescent="0.4">
      <c r="D20" s="14"/>
      <c r="F20" s="55"/>
      <c r="G20" s="55"/>
      <c r="H20" s="40"/>
      <c r="I20" s="40"/>
    </row>
    <row r="21" spans="1:10" ht="15" thickTop="1" x14ac:dyDescent="0.35">
      <c r="D21" s="14"/>
      <c r="F21" s="56" t="s">
        <v>23</v>
      </c>
      <c r="G21" s="61">
        <f>G12+G14</f>
        <v>0</v>
      </c>
      <c r="H21" s="40"/>
      <c r="I21" s="40"/>
    </row>
    <row r="22" spans="1:10" x14ac:dyDescent="0.35">
      <c r="B22" s="50" t="s">
        <v>38</v>
      </c>
      <c r="C22" s="50" t="s">
        <v>15</v>
      </c>
      <c r="D22" s="50" t="s">
        <v>16</v>
      </c>
      <c r="F22" s="6"/>
      <c r="G22" s="40"/>
      <c r="H22" s="40"/>
      <c r="I22" s="40"/>
    </row>
    <row r="23" spans="1:10" x14ac:dyDescent="0.35">
      <c r="A23" s="1"/>
      <c r="B23" t="s">
        <v>39</v>
      </c>
      <c r="C23" t="s">
        <v>40</v>
      </c>
      <c r="D23" s="14">
        <v>18750</v>
      </c>
      <c r="F23" s="59"/>
      <c r="G23" s="40">
        <f>D23*F23</f>
        <v>0</v>
      </c>
      <c r="H23" s="40"/>
      <c r="I23" s="40"/>
      <c r="J23" s="40"/>
    </row>
    <row r="24" spans="1:10" x14ac:dyDescent="0.35">
      <c r="A24" s="1"/>
      <c r="B24" t="s">
        <v>41</v>
      </c>
      <c r="C24" t="s">
        <v>42</v>
      </c>
      <c r="D24" s="14">
        <v>6250</v>
      </c>
      <c r="F24" s="49">
        <f>F23*1.2</f>
        <v>0</v>
      </c>
      <c r="G24" s="40">
        <f>D24*F24</f>
        <v>0</v>
      </c>
      <c r="H24" s="40"/>
      <c r="I24" s="40"/>
      <c r="J24" s="40"/>
    </row>
    <row r="25" spans="1:10" x14ac:dyDescent="0.35">
      <c r="A25" s="1"/>
      <c r="B25" t="s">
        <v>43</v>
      </c>
      <c r="C25" t="s">
        <v>44</v>
      </c>
      <c r="D25" s="14">
        <v>30000</v>
      </c>
      <c r="F25" s="49">
        <f>F23*1.35</f>
        <v>0</v>
      </c>
      <c r="G25" s="40">
        <f>D25*F25</f>
        <v>0</v>
      </c>
      <c r="H25" s="40"/>
      <c r="I25" s="40"/>
      <c r="J25" s="40"/>
    </row>
    <row r="26" spans="1:10" x14ac:dyDescent="0.35">
      <c r="A26" s="1"/>
      <c r="B26" t="s">
        <v>45</v>
      </c>
      <c r="C26" t="s">
        <v>46</v>
      </c>
      <c r="D26" s="18"/>
      <c r="F26" s="49">
        <f>F23*2</f>
        <v>0</v>
      </c>
      <c r="G26" s="40"/>
      <c r="H26" s="40"/>
      <c r="I26" s="40"/>
    </row>
    <row r="27" spans="1:10" x14ac:dyDescent="0.35">
      <c r="D27" s="18"/>
      <c r="F27" s="1"/>
      <c r="G27" s="40"/>
      <c r="H27" s="40"/>
      <c r="I27" s="40"/>
    </row>
    <row r="28" spans="1:10" x14ac:dyDescent="0.35">
      <c r="B28" t="s">
        <v>47</v>
      </c>
      <c r="C28" t="s">
        <v>40</v>
      </c>
      <c r="D28" s="14">
        <v>16500</v>
      </c>
      <c r="F28" s="59"/>
      <c r="G28" s="40">
        <f t="shared" ref="G28:G30" si="1">D28*F28</f>
        <v>0</v>
      </c>
      <c r="H28" s="40"/>
      <c r="I28" s="40"/>
      <c r="J28" s="40"/>
    </row>
    <row r="29" spans="1:10" x14ac:dyDescent="0.35">
      <c r="A29" s="7"/>
      <c r="B29" t="s">
        <v>48</v>
      </c>
      <c r="C29" t="s">
        <v>42</v>
      </c>
      <c r="D29" s="14">
        <v>5500</v>
      </c>
      <c r="F29" s="49">
        <f>F28*1.2</f>
        <v>0</v>
      </c>
      <c r="G29" s="40">
        <f t="shared" si="1"/>
        <v>0</v>
      </c>
      <c r="H29" s="40"/>
      <c r="I29" s="40"/>
      <c r="J29" s="40"/>
    </row>
    <row r="30" spans="1:10" x14ac:dyDescent="0.35">
      <c r="A30" s="7"/>
      <c r="B30" t="s">
        <v>49</v>
      </c>
      <c r="C30" t="s">
        <v>44</v>
      </c>
      <c r="D30" s="14">
        <v>18000</v>
      </c>
      <c r="F30" s="49">
        <f>F28*1.35</f>
        <v>0</v>
      </c>
      <c r="G30" s="40">
        <f t="shared" si="1"/>
        <v>0</v>
      </c>
      <c r="H30" s="40"/>
      <c r="I30" s="40"/>
      <c r="J30" s="40"/>
    </row>
    <row r="31" spans="1:10" x14ac:dyDescent="0.35">
      <c r="A31" s="7"/>
      <c r="B31" t="s">
        <v>50</v>
      </c>
      <c r="C31" t="s">
        <v>46</v>
      </c>
      <c r="D31" s="18"/>
      <c r="F31" s="49">
        <f>F28*2</f>
        <v>0</v>
      </c>
      <c r="G31" s="40"/>
      <c r="H31" s="40"/>
      <c r="I31" s="40"/>
      <c r="J31" s="40"/>
    </row>
    <row r="32" spans="1:10" ht="15" thickBot="1" x14ac:dyDescent="0.4">
      <c r="A32" s="1"/>
      <c r="D32" s="19"/>
      <c r="F32" s="55"/>
      <c r="G32" s="55"/>
      <c r="H32" s="40"/>
      <c r="I32" s="40"/>
    </row>
    <row r="33" spans="1:10" ht="15" thickTop="1" x14ac:dyDescent="0.35">
      <c r="A33" s="2"/>
      <c r="D33" s="18"/>
      <c r="F33" s="56" t="s">
        <v>23</v>
      </c>
      <c r="G33" s="62">
        <f>G23+G24+G25+G26+G28+G29+G30+G31</f>
        <v>0</v>
      </c>
    </row>
    <row r="34" spans="1:10" ht="72.75" customHeight="1" x14ac:dyDescent="0.35">
      <c r="A34" s="76" t="s">
        <v>12</v>
      </c>
      <c r="B34" s="76"/>
      <c r="D34" s="19"/>
    </row>
    <row r="35" spans="1:10" x14ac:dyDescent="0.35">
      <c r="F35" s="56" t="s">
        <v>51</v>
      </c>
      <c r="G35" s="64">
        <f>'IT Rollen '!H22</f>
        <v>0</v>
      </c>
      <c r="H35" s="40"/>
    </row>
    <row r="36" spans="1:10" x14ac:dyDescent="0.35">
      <c r="H36" s="40"/>
      <c r="J36" s="40"/>
    </row>
    <row r="37" spans="1:10" ht="15" thickBot="1" x14ac:dyDescent="0.4">
      <c r="A37" s="4"/>
      <c r="B37" s="1"/>
      <c r="D37" s="1"/>
      <c r="E37" s="5"/>
      <c r="F37" s="55"/>
      <c r="G37" s="55"/>
      <c r="H37" s="40"/>
      <c r="I37" s="40"/>
      <c r="J37" s="40"/>
    </row>
    <row r="38" spans="1:10" ht="15" thickTop="1" x14ac:dyDescent="0.35">
      <c r="A38" s="2"/>
      <c r="F38" s="65" t="s">
        <v>52</v>
      </c>
      <c r="G38" s="66">
        <f>G10+G21+G33+G35</f>
        <v>0</v>
      </c>
      <c r="H38" s="53"/>
      <c r="J38" s="53"/>
    </row>
    <row r="39" spans="1:10" x14ac:dyDescent="0.35">
      <c r="A39" s="2"/>
      <c r="F39" t="s">
        <v>53</v>
      </c>
      <c r="H39" s="53"/>
      <c r="J39" s="53"/>
    </row>
    <row r="40" spans="1:10" x14ac:dyDescent="0.35">
      <c r="F40" s="23"/>
    </row>
    <row r="41" spans="1:10" ht="16" x14ac:dyDescent="0.4">
      <c r="A41" s="3"/>
      <c r="B41" s="21"/>
      <c r="C41" s="23"/>
      <c r="E41" s="40"/>
      <c r="F41" s="23"/>
      <c r="H41" s="53"/>
    </row>
    <row r="42" spans="1:10" ht="16" x14ac:dyDescent="0.4">
      <c r="B42" s="21"/>
      <c r="C42" s="23"/>
      <c r="E42" s="40"/>
      <c r="F42" s="23"/>
      <c r="H42" s="53"/>
      <c r="I42" s="53"/>
    </row>
    <row r="43" spans="1:10" ht="16" x14ac:dyDescent="0.4">
      <c r="B43" s="21"/>
      <c r="C43" s="23"/>
      <c r="E43" s="40"/>
      <c r="H43" s="53"/>
    </row>
    <row r="44" spans="1:10" ht="16" x14ac:dyDescent="0.4">
      <c r="B44" s="21"/>
      <c r="C44" s="23"/>
      <c r="E44" s="40"/>
    </row>
    <row r="45" spans="1:10" ht="16" x14ac:dyDescent="0.4">
      <c r="B45" s="21"/>
      <c r="C45" s="23"/>
      <c r="E45" s="40"/>
    </row>
    <row r="46" spans="1:10" ht="16" x14ac:dyDescent="0.4">
      <c r="B46" s="21"/>
      <c r="C46" s="23"/>
      <c r="E46" s="40"/>
    </row>
    <row r="47" spans="1:10" ht="16" x14ac:dyDescent="0.4">
      <c r="A47" s="2"/>
      <c r="B47" s="21"/>
      <c r="C47" s="23"/>
      <c r="E47" s="40"/>
    </row>
    <row r="48" spans="1:10" ht="16" x14ac:dyDescent="0.4">
      <c r="B48" s="21"/>
      <c r="C48" s="23"/>
      <c r="E48" s="40"/>
    </row>
  </sheetData>
  <sheetProtection algorithmName="SHA-512" hashValue="AuEUEm573lyTd/fU4QnttkCWIXbvjXiurLgacmFBI9IwsIjjAyRwTWAGYH5jrfGI/4p77W63TwjSuABc0v5GGg==" saltValue="U2LuUPOr+NGIZZjbCB4uoA==" spinCount="100000" sheet="1" objects="1" scenarios="1"/>
  <mergeCells count="3">
    <mergeCell ref="G2:I2"/>
    <mergeCell ref="A2:B2"/>
    <mergeCell ref="A34:B34"/>
  </mergeCells>
  <conditionalFormatting sqref="F4">
    <cfRule type="expression" dxfId="5" priority="5">
      <formula>$F$4&gt;$F$5</formula>
    </cfRule>
  </conditionalFormatting>
  <conditionalFormatting sqref="F6">
    <cfRule type="expression" dxfId="4" priority="4">
      <formula>$F$6&gt;$F$4</formula>
    </cfRule>
  </conditionalFormatting>
  <conditionalFormatting sqref="F7">
    <cfRule type="expression" dxfId="3" priority="3">
      <formula>$F$7&gt;$F$6</formula>
    </cfRule>
  </conditionalFormatting>
  <conditionalFormatting sqref="F8">
    <cfRule type="expression" dxfId="2" priority="2">
      <formula>$F$8&gt;$F$7</formula>
    </cfRule>
  </conditionalFormatting>
  <conditionalFormatting sqref="F14">
    <cfRule type="expression" dxfId="1" priority="1">
      <formula>$F$14&gt;$F$12</formula>
    </cfRule>
  </conditionalFormatting>
  <pageMargins left="0.7" right="0.7" top="0.75" bottom="0.75" header="0.3" footer="0.3"/>
  <pageSetup paperSize="9" orientation="portrait" r:id="rId1"/>
  <headerFooter>
    <oddHeader>&amp;L&amp;"Calibri"&amp;10&amp;K999999 Intern&amp;1#_x000D_</oddHeader>
    <oddFooter>&amp;L_x000D_&amp;1#&amp;"Calibri"&amp;10&amp;K999999 Intern</oddFooter>
  </headerFooter>
  <ignoredErrors>
    <ignoredError sqref="F16:F18" formula="1"/>
    <ignoredError sqref="F24:F26 F29:F31 G35"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653C-0003-4989-8646-F19D1FEABEDC}">
  <dimension ref="A1:H22"/>
  <sheetViews>
    <sheetView zoomScale="80" zoomScaleNormal="80" workbookViewId="0">
      <selection activeCell="B13" sqref="B13"/>
    </sheetView>
  </sheetViews>
  <sheetFormatPr defaultColWidth="8.81640625" defaultRowHeight="14.5" x14ac:dyDescent="0.35"/>
  <cols>
    <col min="1" max="1" width="35.36328125" customWidth="1"/>
    <col min="2" max="2" width="34.453125" customWidth="1"/>
    <col min="4" max="4" width="19.1796875" customWidth="1"/>
    <col min="5" max="5" width="24" customWidth="1"/>
    <col min="6" max="6" width="8.81640625" bestFit="1" customWidth="1"/>
    <col min="8" max="8" width="17" customWidth="1"/>
  </cols>
  <sheetData>
    <row r="1" spans="1:8" ht="76.5" customHeight="1" thickBot="1" x14ac:dyDescent="0.4">
      <c r="A1" s="77" t="s">
        <v>78</v>
      </c>
      <c r="B1" s="78"/>
      <c r="C1" s="78"/>
      <c r="D1" s="78"/>
      <c r="E1" s="78"/>
      <c r="F1" s="78"/>
      <c r="G1" s="78"/>
      <c r="H1" s="79"/>
    </row>
    <row r="2" spans="1:8" ht="15" thickBot="1" x14ac:dyDescent="0.4">
      <c r="A2" s="24"/>
      <c r="B2" s="24"/>
      <c r="C2" s="24"/>
      <c r="D2" s="24"/>
      <c r="E2" s="24"/>
      <c r="F2" s="24"/>
      <c r="G2" s="24"/>
      <c r="H2" s="24"/>
    </row>
    <row r="3" spans="1:8" ht="15" thickBot="1" x14ac:dyDescent="0.4">
      <c r="A3" s="25" t="s">
        <v>79</v>
      </c>
      <c r="B3" s="25" t="s">
        <v>71</v>
      </c>
      <c r="C3" s="26"/>
      <c r="D3" s="41" t="s">
        <v>54</v>
      </c>
      <c r="E3" s="41" t="s">
        <v>55</v>
      </c>
      <c r="F3" s="27" t="s">
        <v>56</v>
      </c>
      <c r="G3" s="28"/>
      <c r="H3" s="68" t="s">
        <v>57</v>
      </c>
    </row>
    <row r="4" spans="1:8" ht="15" thickBot="1" x14ac:dyDescent="0.4">
      <c r="A4" s="29" t="s">
        <v>58</v>
      </c>
      <c r="B4" s="29" t="s">
        <v>74</v>
      </c>
      <c r="C4" s="30"/>
      <c r="D4" s="45">
        <v>0</v>
      </c>
      <c r="E4" s="46">
        <v>110</v>
      </c>
      <c r="F4" s="42">
        <v>1000</v>
      </c>
      <c r="G4" s="31"/>
      <c r="H4" s="69">
        <f t="shared" ref="H4:H20" si="0">D4*F4</f>
        <v>0</v>
      </c>
    </row>
    <row r="5" spans="1:8" ht="15" thickBot="1" x14ac:dyDescent="0.4">
      <c r="A5" s="32" t="s">
        <v>59</v>
      </c>
      <c r="B5" s="32" t="s">
        <v>74</v>
      </c>
      <c r="C5" s="30"/>
      <c r="D5" s="45">
        <v>0</v>
      </c>
      <c r="E5" s="47">
        <v>100</v>
      </c>
      <c r="F5" s="43">
        <v>800</v>
      </c>
      <c r="G5" s="31"/>
      <c r="H5" s="33">
        <f t="shared" si="0"/>
        <v>0</v>
      </c>
    </row>
    <row r="6" spans="1:8" ht="15" thickBot="1" x14ac:dyDescent="0.4">
      <c r="A6" s="32" t="s">
        <v>60</v>
      </c>
      <c r="B6" s="32" t="s">
        <v>74</v>
      </c>
      <c r="C6" s="30"/>
      <c r="D6" s="45">
        <v>0</v>
      </c>
      <c r="E6" s="47">
        <v>130</v>
      </c>
      <c r="F6" s="43">
        <v>1800</v>
      </c>
      <c r="G6" s="31"/>
      <c r="H6" s="33">
        <f t="shared" si="0"/>
        <v>0</v>
      </c>
    </row>
    <row r="7" spans="1:8" ht="15" thickBot="1" x14ac:dyDescent="0.4">
      <c r="A7" s="32" t="s">
        <v>61</v>
      </c>
      <c r="B7" s="32" t="s">
        <v>72</v>
      </c>
      <c r="C7" s="30"/>
      <c r="D7" s="45">
        <v>0</v>
      </c>
      <c r="E7" s="47">
        <v>135</v>
      </c>
      <c r="F7" s="43">
        <v>1800</v>
      </c>
      <c r="G7" s="31"/>
      <c r="H7" s="33">
        <f t="shared" si="0"/>
        <v>0</v>
      </c>
    </row>
    <row r="8" spans="1:8" ht="15" thickBot="1" x14ac:dyDescent="0.4">
      <c r="A8" s="32" t="s">
        <v>62</v>
      </c>
      <c r="B8" s="32" t="s">
        <v>73</v>
      </c>
      <c r="C8" s="30"/>
      <c r="D8" s="45">
        <v>0</v>
      </c>
      <c r="E8" s="47">
        <v>80</v>
      </c>
      <c r="F8" s="43">
        <f>700*(1/3)</f>
        <v>233.33333333333331</v>
      </c>
      <c r="G8" s="31"/>
      <c r="H8" s="33">
        <f t="shared" si="0"/>
        <v>0</v>
      </c>
    </row>
    <row r="9" spans="1:8" ht="15" thickBot="1" x14ac:dyDescent="0.4">
      <c r="A9" s="32" t="s">
        <v>62</v>
      </c>
      <c r="B9" s="32" t="s">
        <v>74</v>
      </c>
      <c r="C9" s="30"/>
      <c r="D9" s="45">
        <v>0</v>
      </c>
      <c r="E9" s="47">
        <v>100</v>
      </c>
      <c r="F9" s="43">
        <f>800*(1/3)</f>
        <v>266.66666666666663</v>
      </c>
      <c r="G9" s="31"/>
      <c r="H9" s="33">
        <f t="shared" si="0"/>
        <v>0</v>
      </c>
    </row>
    <row r="10" spans="1:8" ht="15" thickBot="1" x14ac:dyDescent="0.4">
      <c r="A10" s="32" t="s">
        <v>62</v>
      </c>
      <c r="B10" s="32" t="s">
        <v>72</v>
      </c>
      <c r="C10" s="30"/>
      <c r="D10" s="45">
        <v>0</v>
      </c>
      <c r="E10" s="47">
        <v>115</v>
      </c>
      <c r="F10" s="43">
        <f>800*(1/3)</f>
        <v>266.66666666666663</v>
      </c>
      <c r="G10" s="31"/>
      <c r="H10" s="33">
        <f t="shared" si="0"/>
        <v>0</v>
      </c>
    </row>
    <row r="11" spans="1:8" ht="15" thickBot="1" x14ac:dyDescent="0.4">
      <c r="A11" s="32" t="s">
        <v>75</v>
      </c>
      <c r="B11" s="32" t="s">
        <v>73</v>
      </c>
      <c r="C11" s="30"/>
      <c r="D11" s="45">
        <v>0</v>
      </c>
      <c r="E11" s="47">
        <v>80</v>
      </c>
      <c r="F11" s="43">
        <f>6700*(1/6)</f>
        <v>1116.6666666666665</v>
      </c>
      <c r="G11" s="31"/>
      <c r="H11" s="33">
        <f t="shared" si="0"/>
        <v>0</v>
      </c>
    </row>
    <row r="12" spans="1:8" ht="15" thickBot="1" x14ac:dyDescent="0.4">
      <c r="A12" s="32" t="s">
        <v>75</v>
      </c>
      <c r="B12" s="32" t="s">
        <v>74</v>
      </c>
      <c r="C12" s="30"/>
      <c r="D12" s="45">
        <v>0</v>
      </c>
      <c r="E12" s="47">
        <v>100</v>
      </c>
      <c r="F12" s="43">
        <f>6700*(3/6)</f>
        <v>3350</v>
      </c>
      <c r="G12" s="31"/>
      <c r="H12" s="33">
        <f t="shared" si="0"/>
        <v>0</v>
      </c>
    </row>
    <row r="13" spans="1:8" ht="15" thickBot="1" x14ac:dyDescent="0.4">
      <c r="A13" s="32" t="s">
        <v>75</v>
      </c>
      <c r="B13" s="32" t="s">
        <v>72</v>
      </c>
      <c r="C13" s="30"/>
      <c r="D13" s="45">
        <v>0</v>
      </c>
      <c r="E13" s="47">
        <v>115</v>
      </c>
      <c r="F13" s="43">
        <f>6700*(2/6)</f>
        <v>2233.333333333333</v>
      </c>
      <c r="G13" s="31"/>
      <c r="H13" s="33">
        <f t="shared" si="0"/>
        <v>0</v>
      </c>
    </row>
    <row r="14" spans="1:8" ht="15" thickBot="1" x14ac:dyDescent="0.4">
      <c r="A14" s="34" t="s">
        <v>76</v>
      </c>
      <c r="B14" s="32" t="s">
        <v>73</v>
      </c>
      <c r="C14" s="30"/>
      <c r="D14" s="45">
        <v>0</v>
      </c>
      <c r="E14" s="47">
        <v>75</v>
      </c>
      <c r="F14" s="43">
        <f>1700*(1/3)</f>
        <v>566.66666666666663</v>
      </c>
      <c r="G14" s="31"/>
      <c r="H14" s="33">
        <f t="shared" si="0"/>
        <v>0</v>
      </c>
    </row>
    <row r="15" spans="1:8" ht="15" thickBot="1" x14ac:dyDescent="0.4">
      <c r="A15" s="34" t="s">
        <v>76</v>
      </c>
      <c r="B15" s="32" t="s">
        <v>74</v>
      </c>
      <c r="C15" s="30"/>
      <c r="D15" s="45">
        <v>0</v>
      </c>
      <c r="E15" s="67">
        <v>95</v>
      </c>
      <c r="F15" s="43">
        <f>1700*(1/3)</f>
        <v>566.66666666666663</v>
      </c>
      <c r="G15" s="31"/>
      <c r="H15" s="33">
        <f t="shared" si="0"/>
        <v>0</v>
      </c>
    </row>
    <row r="16" spans="1:8" ht="15" thickBot="1" x14ac:dyDescent="0.4">
      <c r="A16" s="34" t="s">
        <v>76</v>
      </c>
      <c r="B16" s="32" t="s">
        <v>72</v>
      </c>
      <c r="C16" s="30"/>
      <c r="D16" s="45">
        <v>0</v>
      </c>
      <c r="E16" s="67">
        <v>110</v>
      </c>
      <c r="F16" s="43">
        <f>1700*(1/3)</f>
        <v>566.66666666666663</v>
      </c>
      <c r="G16" s="31"/>
      <c r="H16" s="33">
        <f t="shared" si="0"/>
        <v>0</v>
      </c>
    </row>
    <row r="17" spans="1:8" ht="15" thickBot="1" x14ac:dyDescent="0.4">
      <c r="A17" s="34" t="s">
        <v>77</v>
      </c>
      <c r="B17" s="32" t="s">
        <v>73</v>
      </c>
      <c r="C17" s="30"/>
      <c r="D17" s="45">
        <v>0</v>
      </c>
      <c r="E17" s="67">
        <v>80</v>
      </c>
      <c r="F17" s="43">
        <f>1200*(1/3)</f>
        <v>400</v>
      </c>
      <c r="G17" s="31"/>
      <c r="H17" s="33">
        <f t="shared" si="0"/>
        <v>0</v>
      </c>
    </row>
    <row r="18" spans="1:8" ht="15" thickBot="1" x14ac:dyDescent="0.4">
      <c r="A18" s="34" t="s">
        <v>77</v>
      </c>
      <c r="B18" s="32" t="s">
        <v>74</v>
      </c>
      <c r="C18" s="30"/>
      <c r="D18" s="45">
        <v>0</v>
      </c>
      <c r="E18" s="67">
        <v>100</v>
      </c>
      <c r="F18" s="43">
        <f>1200*(1/3)</f>
        <v>400</v>
      </c>
      <c r="G18" s="31"/>
      <c r="H18" s="33">
        <f t="shared" si="0"/>
        <v>0</v>
      </c>
    </row>
    <row r="19" spans="1:8" ht="15" thickBot="1" x14ac:dyDescent="0.4">
      <c r="A19" s="34" t="s">
        <v>77</v>
      </c>
      <c r="B19" s="32" t="s">
        <v>72</v>
      </c>
      <c r="C19" s="30"/>
      <c r="D19" s="45">
        <v>0</v>
      </c>
      <c r="E19" s="67">
        <v>115</v>
      </c>
      <c r="F19" s="43">
        <f>1200*(1/3)</f>
        <v>400</v>
      </c>
      <c r="G19" s="31"/>
      <c r="H19" s="33">
        <f t="shared" si="0"/>
        <v>0</v>
      </c>
    </row>
    <row r="20" spans="1:8" ht="15" thickBot="1" x14ac:dyDescent="0.4">
      <c r="A20" s="70" t="s">
        <v>80</v>
      </c>
      <c r="B20" s="70" t="s">
        <v>74</v>
      </c>
      <c r="C20" s="30"/>
      <c r="D20" s="45">
        <v>0</v>
      </c>
      <c r="E20" s="48">
        <v>115</v>
      </c>
      <c r="F20" s="44">
        <v>300</v>
      </c>
      <c r="G20" s="31"/>
      <c r="H20" s="71">
        <f t="shared" si="0"/>
        <v>0</v>
      </c>
    </row>
    <row r="21" spans="1:8" ht="15" thickBot="1" x14ac:dyDescent="0.4">
      <c r="A21" s="36"/>
      <c r="B21" s="36"/>
      <c r="C21" s="35"/>
      <c r="D21" s="37"/>
      <c r="E21" s="38"/>
      <c r="F21" s="37"/>
      <c r="G21" s="38"/>
      <c r="H21" s="38"/>
    </row>
    <row r="22" spans="1:8" ht="15" thickBot="1" x14ac:dyDescent="0.4">
      <c r="A22" s="80" t="s">
        <v>63</v>
      </c>
      <c r="B22" s="81"/>
      <c r="C22" s="81"/>
      <c r="D22" s="81"/>
      <c r="E22" s="81"/>
      <c r="F22" s="81"/>
      <c r="G22" s="82"/>
      <c r="H22" s="39">
        <f>SUM(H4:H19)</f>
        <v>0</v>
      </c>
    </row>
  </sheetData>
  <sheetProtection algorithmName="SHA-512" hashValue="aIfBN+RXozce2/uqN5OIVBC31ReR2lGI2WFsYZ4lnb+Wa52JKL0Xv50epsgox+d7q2AZ7eMB/c1FUljnhFQbig==" saltValue="NI0GXeHW2w1cQuiTTjQWjg==" spinCount="100000" sheet="1" objects="1" scenarios="1"/>
  <mergeCells count="2">
    <mergeCell ref="A1:H1"/>
    <mergeCell ref="A22:G22"/>
  </mergeCells>
  <conditionalFormatting sqref="D4:D20">
    <cfRule type="expression" dxfId="0" priority="1" stopIfTrue="1">
      <formula>$D4&gt;$E4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CE96E-E916-4900-A17C-84AEA45C282F}">
  <dimension ref="A1:H11"/>
  <sheetViews>
    <sheetView topLeftCell="A4" zoomScale="90" zoomScaleNormal="90" workbookViewId="0">
      <selection activeCell="D6" sqref="D6"/>
    </sheetView>
  </sheetViews>
  <sheetFormatPr defaultColWidth="8.6328125" defaultRowHeight="14.5" x14ac:dyDescent="0.35"/>
  <cols>
    <col min="1" max="1" width="8.6328125" style="72"/>
    <col min="2" max="2" width="21.36328125" style="72" bestFit="1" customWidth="1"/>
    <col min="3" max="3" width="30.6328125" style="72" customWidth="1"/>
    <col min="4" max="4" width="38.6328125" style="72" customWidth="1"/>
    <col min="5" max="5" width="32.1796875" style="72" customWidth="1"/>
    <col min="6" max="8" width="39.81640625" style="72" customWidth="1"/>
    <col min="9" max="16384" width="8.6328125" style="72"/>
  </cols>
  <sheetData>
    <row r="1" spans="1:8" ht="195" customHeight="1" x14ac:dyDescent="0.35">
      <c r="A1" s="83" t="s">
        <v>81</v>
      </c>
      <c r="B1" s="84"/>
      <c r="C1" s="84"/>
      <c r="D1" s="84"/>
      <c r="E1" s="84"/>
      <c r="F1" s="84"/>
      <c r="G1" s="84"/>
      <c r="H1" s="84"/>
    </row>
    <row r="3" spans="1:8" ht="29" x14ac:dyDescent="0.35">
      <c r="A3" s="72" t="s">
        <v>82</v>
      </c>
      <c r="B3" s="73" t="s">
        <v>79</v>
      </c>
      <c r="C3" s="73" t="s">
        <v>83</v>
      </c>
      <c r="D3" s="73" t="s">
        <v>84</v>
      </c>
      <c r="E3" s="73" t="s">
        <v>85</v>
      </c>
      <c r="F3" s="73" t="s">
        <v>86</v>
      </c>
      <c r="G3" s="73" t="s">
        <v>87</v>
      </c>
      <c r="H3" s="73" t="s">
        <v>88</v>
      </c>
    </row>
    <row r="4" spans="1:8" ht="101.5" x14ac:dyDescent="0.35">
      <c r="A4" s="72">
        <v>1</v>
      </c>
      <c r="B4" s="74" t="s">
        <v>58</v>
      </c>
      <c r="C4" s="74" t="s">
        <v>89</v>
      </c>
      <c r="D4" s="74" t="s">
        <v>90</v>
      </c>
      <c r="E4" s="74" t="s">
        <v>91</v>
      </c>
      <c r="F4" s="74" t="s">
        <v>92</v>
      </c>
      <c r="G4" s="74" t="s">
        <v>93</v>
      </c>
      <c r="H4" s="74" t="s">
        <v>94</v>
      </c>
    </row>
    <row r="5" spans="1:8" ht="87" x14ac:dyDescent="0.35">
      <c r="A5" s="72">
        <v>2</v>
      </c>
      <c r="B5" s="74" t="s">
        <v>59</v>
      </c>
      <c r="C5" s="74" t="s">
        <v>95</v>
      </c>
      <c r="D5" s="74" t="s">
        <v>96</v>
      </c>
      <c r="E5" s="74" t="s">
        <v>97</v>
      </c>
      <c r="F5" s="74" t="s">
        <v>98</v>
      </c>
      <c r="G5" s="74" t="s">
        <v>99</v>
      </c>
      <c r="H5" s="74" t="s">
        <v>100</v>
      </c>
    </row>
    <row r="6" spans="1:8" ht="101.5" x14ac:dyDescent="0.35">
      <c r="A6" s="72">
        <v>3</v>
      </c>
      <c r="B6" s="74" t="s">
        <v>60</v>
      </c>
      <c r="C6" s="74" t="s">
        <v>60</v>
      </c>
      <c r="D6" s="74" t="s">
        <v>101</v>
      </c>
      <c r="E6" s="74" t="s">
        <v>102</v>
      </c>
      <c r="F6" s="74" t="s">
        <v>103</v>
      </c>
      <c r="G6" s="74" t="s">
        <v>104</v>
      </c>
      <c r="H6" s="74" t="s">
        <v>105</v>
      </c>
    </row>
    <row r="7" spans="1:8" ht="116" x14ac:dyDescent="0.35">
      <c r="A7" s="72">
        <v>4</v>
      </c>
      <c r="B7" s="74" t="s">
        <v>106</v>
      </c>
      <c r="C7" s="74" t="s">
        <v>107</v>
      </c>
      <c r="D7" s="74" t="s">
        <v>108</v>
      </c>
      <c r="E7" s="74" t="s">
        <v>109</v>
      </c>
      <c r="F7" s="74" t="s">
        <v>110</v>
      </c>
      <c r="G7" s="74" t="s">
        <v>111</v>
      </c>
      <c r="H7" s="74" t="s">
        <v>112</v>
      </c>
    </row>
    <row r="8" spans="1:8" ht="101.5" x14ac:dyDescent="0.35">
      <c r="A8" s="72">
        <v>5</v>
      </c>
      <c r="B8" s="74" t="s">
        <v>113</v>
      </c>
      <c r="C8" s="74" t="s">
        <v>114</v>
      </c>
      <c r="D8" s="74" t="s">
        <v>115</v>
      </c>
      <c r="E8" s="74" t="s">
        <v>116</v>
      </c>
      <c r="F8" s="74" t="s">
        <v>117</v>
      </c>
      <c r="G8" s="74" t="s">
        <v>118</v>
      </c>
      <c r="H8" s="74" t="s">
        <v>119</v>
      </c>
    </row>
    <row r="9" spans="1:8" ht="101.5" x14ac:dyDescent="0.35">
      <c r="A9" s="72">
        <v>6</v>
      </c>
      <c r="B9" s="74" t="s">
        <v>120</v>
      </c>
      <c r="C9" s="74" t="s">
        <v>121</v>
      </c>
      <c r="D9" s="74" t="s">
        <v>122</v>
      </c>
      <c r="E9" s="74" t="s">
        <v>123</v>
      </c>
      <c r="F9" s="74" t="s">
        <v>124</v>
      </c>
      <c r="G9" s="74" t="s">
        <v>125</v>
      </c>
      <c r="H9" s="74" t="s">
        <v>126</v>
      </c>
    </row>
    <row r="10" spans="1:8" ht="87" x14ac:dyDescent="0.35">
      <c r="A10" s="72">
        <v>7</v>
      </c>
      <c r="B10" s="74" t="s">
        <v>127</v>
      </c>
      <c r="C10" s="74" t="s">
        <v>128</v>
      </c>
      <c r="D10" s="74" t="s">
        <v>129</v>
      </c>
      <c r="E10" s="74" t="s">
        <v>130</v>
      </c>
      <c r="F10" s="74" t="s">
        <v>131</v>
      </c>
      <c r="G10" s="74" t="s">
        <v>132</v>
      </c>
      <c r="H10" s="74" t="s">
        <v>133</v>
      </c>
    </row>
    <row r="11" spans="1:8" ht="116" x14ac:dyDescent="0.35">
      <c r="A11" s="72">
        <v>8</v>
      </c>
      <c r="B11" s="74" t="s">
        <v>134</v>
      </c>
      <c r="C11" s="74" t="s">
        <v>135</v>
      </c>
      <c r="D11" s="74" t="s">
        <v>136</v>
      </c>
      <c r="E11" s="74" t="s">
        <v>137</v>
      </c>
      <c r="F11" s="74" t="s">
        <v>138</v>
      </c>
      <c r="G11" s="74" t="s">
        <v>139</v>
      </c>
      <c r="H11" s="74" t="s">
        <v>140</v>
      </c>
    </row>
  </sheetData>
  <sheetProtection algorithmName="SHA-512" hashValue="YA73gUz0ODZJLDwSIv1EvBeZlod/Xom2O/0wqdZXft89C/ZaO03RLhXpG/49sEz5JioFTEVxAMrbqPOr1pUNaQ==" saltValue="ZElZ22dRMJGZ+gnjpHMBqw==" spinCount="100000" sheet="1" objects="1" scenarios="1"/>
  <mergeCells count="1">
    <mergeCell ref="A1:H1"/>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Id xmlns="034a3beb-2f15-497a-bc34-c9a24eddfcb3" xsi:nil="true"/>
    <_ip_UnifiedCompliancePolicyUIAction xmlns="http://schemas.microsoft.com/sharepoint/v3" xsi:nil="true"/>
    <p21c2e49352a45399600665eb9cb46ea xmlns="bbfa16fd-aa96-40f3-942d-85d19b731ffc">
      <Terms xmlns="http://schemas.microsoft.com/office/infopath/2007/PartnerControls">
        <TermInfo xmlns="http://schemas.microsoft.com/office/infopath/2007/PartnerControls">
          <TermName xmlns="http://schemas.microsoft.com/office/infopath/2007/PartnerControls">NS Groep</TermName>
          <TermId xmlns="http://schemas.microsoft.com/office/infopath/2007/PartnerControls">fb308cd0-20ab-4436-8121-32fb6180fca1</TermId>
        </TermInfo>
      </Terms>
    </p21c2e49352a45399600665eb9cb46ea>
    <lcf76f155ced4ddcb4097134ff3c332f xmlns="ccc046d9-c7dc-469f-bae5-9e23d922c282">
      <Terms xmlns="http://schemas.microsoft.com/office/infopath/2007/PartnerControls"/>
    </lcf76f155ced4ddcb4097134ff3c332f>
    <Naam_x0020_inkoper xmlns="034a3beb-2f15-497a-bc34-c9a24eddfcb3">
      <UserInfo>
        <DisplayName/>
        <AccountId>8191</AccountId>
        <AccountType/>
      </UserInfo>
    </Naam_x0020_inkoper>
    <DocumentSetDescription xmlns="http://schemas.microsoft.com/sharepoint/v3" xsi:nil="true"/>
    <_ip_UnifiedCompliancePolicyProperties xmlns="http://schemas.microsoft.com/sharepoint/v3" xsi:nil="true"/>
    <Sector xmlns="034a3beb-2f15-497a-bc34-c9a24eddfcb3" xsi:nil="true"/>
    <TaxCatchAll xmlns="bbfa16fd-aa96-40f3-942d-85d19b731ffc">
      <Value>1</Value>
    </TaxCatchAll>
    <DocVersieNr xmlns="034a3beb-2f15-497a-bc34-c9a24eddfcb3" xsi:nil="true"/>
    <Jaar_x0020_inkoopproject xmlns="034a3beb-2f15-497a-bc34-c9a24eddfcb3">2025</Jaar_x0020_inkoopproject>
    <e57932243e344fd5a08492a0ca9c1e12 xmlns="034a3beb-2f15-497a-bc34-c9a24eddfcb3">
      <Terms xmlns="http://schemas.microsoft.com/office/infopath/2007/PartnerControls"/>
    </e57932243e344fd5a08492a0ca9c1e12>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NS Procurement" ma:contentTypeID="0x01010034F251C9DFFD41429EC5F340E43CE5E3004C8A98AE7796074C8EA0475511B9D540" ma:contentTypeVersion="62" ma:contentTypeDescription="" ma:contentTypeScope="" ma:versionID="6ea3a2480391af60c882320f5afb3689">
  <xsd:schema xmlns:xsd="http://www.w3.org/2001/XMLSchema" xmlns:xs="http://www.w3.org/2001/XMLSchema" xmlns:p="http://schemas.microsoft.com/office/2006/metadata/properties" xmlns:ns1="http://schemas.microsoft.com/sharepoint/v3" xmlns:ns2="034a3beb-2f15-497a-bc34-c9a24eddfcb3" xmlns:ns3="bbfa16fd-aa96-40f3-942d-85d19b731ffc" xmlns:ns4="ccc046d9-c7dc-469f-bae5-9e23d922c282" targetNamespace="http://schemas.microsoft.com/office/2006/metadata/properties" ma:root="true" ma:fieldsID="94dc086e9a5dd4579855c7b64d68f694" ns1:_="" ns2:_="" ns3:_="" ns4:_="">
    <xsd:import namespace="http://schemas.microsoft.com/sharepoint/v3"/>
    <xsd:import namespace="034a3beb-2f15-497a-bc34-c9a24eddfcb3"/>
    <xsd:import namespace="bbfa16fd-aa96-40f3-942d-85d19b731ffc"/>
    <xsd:import namespace="ccc046d9-c7dc-469f-bae5-9e23d922c282"/>
    <xsd:element name="properties">
      <xsd:complexType>
        <xsd:sequence>
          <xsd:element name="documentManagement">
            <xsd:complexType>
              <xsd:all>
                <xsd:element ref="ns2:Jaar_x0020_inkoopproject"/>
                <xsd:element ref="ns2:Naam_x0020_inkoper" minOccurs="0"/>
                <xsd:element ref="ns3:p21c2e49352a45399600665eb9cb46ea" minOccurs="0"/>
                <xsd:element ref="ns3:TaxCatchAll" minOccurs="0"/>
                <xsd:element ref="ns3:TaxCatchAllLabel" minOccurs="0"/>
                <xsd:element ref="ns1:DocumentSetDescription" minOccurs="0"/>
                <xsd:element ref="ns2:Sector" minOccurs="0"/>
                <xsd:element ref="ns2:e57932243e344fd5a08492a0ca9c1e12" minOccurs="0"/>
                <xsd:element ref="ns2:DocId" minOccurs="0"/>
                <xsd:element ref="ns2:DocVersieNr" minOccurs="0"/>
                <xsd:element ref="ns4:MediaServiceAutoTags" minOccurs="0"/>
                <xsd:element ref="ns4:MediaServiceLocation"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lcf76f155ced4ddcb4097134ff3c332f" minOccurs="0"/>
                <xsd:element ref="ns4:MediaServiceObjectDetectorVersions"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4" nillable="true" ma:displayName="Beschrijving" ma:description="Een beschrijving van de documentenset" ma:hidden="true" ma:internalName="DocumentSetDescription" ma:readOnly="false">
      <xsd:simpleType>
        <xsd:restriction base="dms:Note"/>
      </xsd:simpleType>
    </xsd:element>
    <xsd:element name="_ip_UnifiedCompliancePolicyProperties" ma:index="32" nillable="true" ma:displayName="Eigenschappen van het geïntegreerd beleid voor naleving" ma:hidden="true" ma:internalName="_ip_UnifiedCompliancePolicyProperties">
      <xsd:simpleType>
        <xsd:restriction base="dms:Note"/>
      </xsd:simpleType>
    </xsd:element>
    <xsd:element name="_ip_UnifiedCompliancePolicyUIAction" ma:index="33"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4a3beb-2f15-497a-bc34-c9a24eddfcb3" elementFormDefault="qualified">
    <xsd:import namespace="http://schemas.microsoft.com/office/2006/documentManagement/types"/>
    <xsd:import namespace="http://schemas.microsoft.com/office/infopath/2007/PartnerControls"/>
    <xsd:element name="Jaar_x0020_inkoopproject" ma:index="8" ma:displayName="Jaar inkoopproject" ma:default="2021" ma:format="Dropdown" ma:indexed="true" ma:internalName="Jaar_x0020_inkoopproject" ma:readOnly="false">
      <xsd:simpleType>
        <xsd:restriction base="dms:Choice">
          <xsd:enumeration value="2020"/>
          <xsd:enumeration value="2021"/>
          <xsd:enumeration value="2022"/>
          <xsd:enumeration value="2023"/>
          <xsd:enumeration value="2024"/>
          <xsd:enumeration value="2025"/>
        </xsd:restriction>
      </xsd:simpleType>
    </xsd:element>
    <xsd:element name="Naam_x0020_inkoper" ma:index="9" nillable="true" ma:displayName="Naam inkoper" ma:hidden="true" ma:indexed="true" ma:list="UserInfo" ma:SharePointGroup="0" ma:internalName="Naam_x0020_inkop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ector" ma:index="15" nillable="true" ma:displayName="(Category) Team" ma:format="Dropdown" ma:internalName="Sector" ma:readOnly="false">
      <xsd:simpleType>
        <xsd:restriction base="dms:Choice">
          <xsd:enumeration value="Building Equipment &amp; Energy"/>
          <xsd:enumeration value="Facility Services"/>
          <xsd:enumeration value="IT"/>
          <xsd:enumeration value="Maintenance"/>
          <xsd:enumeration value="Professional Services &amp; Marketing"/>
          <xsd:enumeration value="Procurement Development &amp; Support"/>
          <xsd:enumeration value="Refurbishment"/>
          <xsd:enumeration value="Rolling Stock"/>
          <xsd:enumeration value="Spareparts &amp; Obsolescence Management"/>
          <xsd:enumeration value="Secretariaat"/>
        </xsd:restriction>
      </xsd:simpleType>
    </xsd:element>
    <xsd:element name="e57932243e344fd5a08492a0ca9c1e12" ma:index="16" nillable="true" ma:taxonomy="true" ma:internalName="e57932243e344fd5a08492a0ca9c1e12" ma:taxonomyFieldName="Soort_x0020_document" ma:displayName="Soort document" ma:readOnly="false" ma:default="" ma:fieldId="{e5793224-3e34-4fd5-a084-92a0ca9c1e12}" ma:sspId="0409cfc5-dbb9-405e-9c65-ec16987dfce4" ma:termSetId="f234009f-b6d3-4e67-bfeb-eb07cfd97d84" ma:anchorId="00000000-0000-0000-0000-000000000000" ma:open="false" ma:isKeyword="false">
      <xsd:complexType>
        <xsd:sequence>
          <xsd:element ref="pc:Terms" minOccurs="0" maxOccurs="1"/>
        </xsd:sequence>
      </xsd:complexType>
    </xsd:element>
    <xsd:element name="DocId" ma:index="18" nillable="true" ma:displayName="DocId" ma:hidden="true" ma:internalName="DocId" ma:readOnly="false" ma:percentage="FALSE">
      <xsd:simpleType>
        <xsd:restriction base="dms:Number"/>
      </xsd:simpleType>
    </xsd:element>
    <xsd:element name="DocVersieNr" ma:index="19" nillable="true" ma:displayName="DocVersieNr" ma:hidden="true" ma:internalName="DocVersieNr"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bfa16fd-aa96-40f3-942d-85d19b731ffc" elementFormDefault="qualified">
    <xsd:import namespace="http://schemas.microsoft.com/office/2006/documentManagement/types"/>
    <xsd:import namespace="http://schemas.microsoft.com/office/infopath/2007/PartnerControls"/>
    <xsd:element name="p21c2e49352a45399600665eb9cb46ea" ma:index="10" nillable="true" ma:taxonomy="true" ma:internalName="p21c2e49352a45399600665eb9cb46ea" ma:taxonomyFieldName="Bedrijfsonderdeel" ma:displayName="Bedrijfsonderdeel" ma:readOnly="false" ma:default="1;#NS Groep|fb308cd0-20ab-4436-8121-32fb6180fca1" ma:fieldId="{921c2e49-352a-4539-9600-665eb9cb46ea}" ma:sspId="0409cfc5-dbb9-405e-9c65-ec16987dfce4" ma:termSetId="e91f6195-3bfd-4584-ab57-68fb8de6fe75" ma:anchorId="00000000-0000-0000-0000-000000000000" ma:open="false" ma:isKeyword="false">
      <xsd:complexType>
        <xsd:sequence>
          <xsd:element ref="pc:Terms" minOccurs="0" maxOccurs="1"/>
        </xsd:sequence>
      </xsd:complexType>
    </xsd:element>
    <xsd:element name="TaxCatchAll" ma:index="11" nillable="true" ma:displayName="Taxonomy Catch All Column" ma:description="" ma:hidden="true" ma:list="{78dc9d54-c87f-443e-bede-d07ac4bf4440}" ma:internalName="TaxCatchAll" ma:showField="CatchAllData" ma:web="034a3beb-2f15-497a-bc34-c9a24eddfcb3">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description="" ma:hidden="true" ma:list="{78dc9d54-c87f-443e-bede-d07ac4bf4440}" ma:internalName="TaxCatchAllLabel" ma:readOnly="true" ma:showField="CatchAllDataLabel" ma:web="034a3beb-2f15-497a-bc34-c9a24eddfcb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c046d9-c7dc-469f-bae5-9e23d922c282" elementFormDefault="qualified">
    <xsd:import namespace="http://schemas.microsoft.com/office/2006/documentManagement/types"/>
    <xsd:import namespace="http://schemas.microsoft.com/office/infopath/2007/PartnerControls"/>
    <xsd:element name="MediaServiceAutoTags" ma:index="20" nillable="true" ma:displayName="MediaServiceAutoTags" ma:description="" ma:internalName="MediaServiceAutoTags" ma:readOnly="true">
      <xsd:simpleType>
        <xsd:restriction base="dms:Text"/>
      </xsd:simpleType>
    </xsd:element>
    <xsd:element name="MediaServiceLocation" ma:index="21" nillable="true" ma:displayName="MediaServiceLocation" ma:internalName="MediaServiceLocation" ma:readOnly="true">
      <xsd:simpleType>
        <xsd:restriction base="dms:Text"/>
      </xsd:simpleType>
    </xsd:element>
    <xsd:element name="MediaServiceOCR" ma:index="22" nillable="true" ma:displayName="MediaServiceOCR"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Afbeeldingtags" ma:readOnly="false" ma:fieldId="{5cf76f15-5ced-4ddc-b409-7134ff3c332f}" ma:taxonomyMulti="true" ma:sspId="0409cfc5-dbb9-405e-9c65-ec16987dfce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EB8F4A-6D16-403E-8BD4-A33E098E9A67}">
  <ds:schemaRefs>
    <ds:schemaRef ds:uri="http://www.w3.org/XML/1998/namespace"/>
    <ds:schemaRef ds:uri="http://purl.org/dc/elements/1.1/"/>
    <ds:schemaRef ds:uri="bbfa16fd-aa96-40f3-942d-85d19b731ffc"/>
    <ds:schemaRef ds:uri="http://schemas.openxmlformats.org/package/2006/metadata/core-properties"/>
    <ds:schemaRef ds:uri="ccc046d9-c7dc-469f-bae5-9e23d922c282"/>
    <ds:schemaRef ds:uri="http://schemas.microsoft.com/sharepoint/v3"/>
    <ds:schemaRef ds:uri="http://schemas.microsoft.com/office/2006/documentManagement/types"/>
    <ds:schemaRef ds:uri="http://schemas.microsoft.com/office/infopath/2007/PartnerControls"/>
    <ds:schemaRef ds:uri="034a3beb-2f15-497a-bc34-c9a24eddfcb3"/>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2E86BAB1-9C48-4002-A5F2-190D3E349E1D}">
  <ds:schemaRefs>
    <ds:schemaRef ds:uri="http://schemas.microsoft.com/sharepoint/v3/contenttype/forms"/>
  </ds:schemaRefs>
</ds:datastoreItem>
</file>

<file path=customXml/itemProps3.xml><?xml version="1.0" encoding="utf-8"?>
<ds:datastoreItem xmlns:ds="http://schemas.openxmlformats.org/officeDocument/2006/customXml" ds:itemID="{83F729AF-08A2-406F-91C7-57DB09F7FA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34a3beb-2f15-497a-bc34-c9a24eddfcb3"/>
    <ds:schemaRef ds:uri="bbfa16fd-aa96-40f3-942d-85d19b731ffc"/>
    <ds:schemaRef ds:uri="ccc046d9-c7dc-469f-bae5-9e23d922c2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4</vt:i4>
      </vt:variant>
    </vt:vector>
  </HeadingPairs>
  <TitlesOfParts>
    <vt:vector size="4" baseType="lpstr">
      <vt:lpstr>Invulinstructie</vt:lpstr>
      <vt:lpstr>Invulblad prijselementen</vt:lpstr>
      <vt:lpstr>IT Rollen </vt:lpstr>
      <vt:lpstr>IT Rollen Definities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Tipker, Jochem JM</dc:creator>
  <cp:keywords/>
  <dc:description/>
  <cp:lastModifiedBy>Tipker, Jochem JM</cp:lastModifiedBy>
  <cp:revision/>
  <dcterms:created xsi:type="dcterms:W3CDTF">2025-10-09T11:08:31Z</dcterms:created>
  <dcterms:modified xsi:type="dcterms:W3CDTF">2025-12-12T09:21:51Z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cb8965-26fb-4a97-9513-50d88672d46c_Enabled">
    <vt:lpwstr>true</vt:lpwstr>
  </property>
  <property fmtid="{D5CDD505-2E9C-101B-9397-08002B2CF9AE}" pid="3" name="MSIP_Label_fecb8965-26fb-4a97-9513-50d88672d46c_SetDate">
    <vt:lpwstr>2025-10-09T11:34:39Z</vt:lpwstr>
  </property>
  <property fmtid="{D5CDD505-2E9C-101B-9397-08002B2CF9AE}" pid="4" name="MSIP_Label_fecb8965-26fb-4a97-9513-50d88672d46c_Method">
    <vt:lpwstr>Standard</vt:lpwstr>
  </property>
  <property fmtid="{D5CDD505-2E9C-101B-9397-08002B2CF9AE}" pid="5" name="MSIP_Label_fecb8965-26fb-4a97-9513-50d88672d46c_Name">
    <vt:lpwstr>fecb8965-26fb-4a97-9513-50d88672d46c</vt:lpwstr>
  </property>
  <property fmtid="{D5CDD505-2E9C-101B-9397-08002B2CF9AE}" pid="6" name="MSIP_Label_fecb8965-26fb-4a97-9513-50d88672d46c_SiteId">
    <vt:lpwstr>64458159-0d9a-4d84-966f-1a13c0ac7a34</vt:lpwstr>
  </property>
  <property fmtid="{D5CDD505-2E9C-101B-9397-08002B2CF9AE}" pid="7" name="MSIP_Label_fecb8965-26fb-4a97-9513-50d88672d46c_ActionId">
    <vt:lpwstr>4c442c90-3346-443d-ae76-90be6a4fc9d3</vt:lpwstr>
  </property>
  <property fmtid="{D5CDD505-2E9C-101B-9397-08002B2CF9AE}" pid="8" name="MSIP_Label_fecb8965-26fb-4a97-9513-50d88672d46c_ContentBits">
    <vt:lpwstr>3</vt:lpwstr>
  </property>
  <property fmtid="{D5CDD505-2E9C-101B-9397-08002B2CF9AE}" pid="9" name="MSIP_Label_fecb8965-26fb-4a97-9513-50d88672d46c_Tag">
    <vt:lpwstr>10, 3, 0, 1</vt:lpwstr>
  </property>
  <property fmtid="{D5CDD505-2E9C-101B-9397-08002B2CF9AE}" pid="10" name="ContentTypeId">
    <vt:lpwstr>0x01010034F251C9DFFD41429EC5F340E43CE5E3004C8A98AE7796074C8EA0475511B9D540</vt:lpwstr>
  </property>
  <property fmtid="{D5CDD505-2E9C-101B-9397-08002B2CF9AE}" pid="11" name="Bedrijfsonderdeel">
    <vt:lpwstr>1;#NS Groep|fb308cd0-20ab-4436-8121-32fb6180fca1</vt:lpwstr>
  </property>
  <property fmtid="{D5CDD505-2E9C-101B-9397-08002B2CF9AE}" pid="12" name="cd8ba0e9385344a9ac76551b4f2256c2">
    <vt:lpwstr/>
  </property>
  <property fmtid="{D5CDD505-2E9C-101B-9397-08002B2CF9AE}" pid="13" name="MediaServiceImageTags">
    <vt:lpwstr/>
  </property>
  <property fmtid="{D5CDD505-2E9C-101B-9397-08002B2CF9AE}" pid="14" name="gb82f349165e4d54a916b112b2504f20">
    <vt:lpwstr/>
  </property>
  <property fmtid="{D5CDD505-2E9C-101B-9397-08002B2CF9AE}" pid="15" name="Inkoopcategorie">
    <vt:lpwstr/>
  </property>
  <property fmtid="{D5CDD505-2E9C-101B-9397-08002B2CF9AE}" pid="16" name="Documentsoort">
    <vt:lpwstr/>
  </property>
  <property fmtid="{D5CDD505-2E9C-101B-9397-08002B2CF9AE}" pid="17" name="Soort_x0020_document">
    <vt:lpwstr/>
  </property>
  <property fmtid="{D5CDD505-2E9C-101B-9397-08002B2CF9AE}" pid="18" name="Soort document">
    <vt:lpwstr/>
  </property>
</Properties>
</file>